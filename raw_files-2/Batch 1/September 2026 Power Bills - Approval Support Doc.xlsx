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quitanedmcc-my.sharepoint.com/personal/stephen_wekesa_spironet_com/Documents/O&amp;M/01-Operations/13-Finance/01-Power_Bills/09_Sept/Batch 1/"/>
    </mc:Choice>
  </mc:AlternateContent>
  <xr:revisionPtr revIDLastSave="507" documentId="8_{F3EED24C-D2CA-4E74-8F4A-F0ED9BFADC9C}" xr6:coauthVersionLast="47" xr6:coauthVersionMax="47" xr10:uidLastSave="{C1F401F2-C7B4-4E05-A393-08EF886E19C9}"/>
  <bookViews>
    <workbookView xWindow="-110" yWindow="-110" windowWidth="19420" windowHeight="11500" activeTab="1" xr2:uid="{00000000-000D-0000-FFFF-FFFF00000000}"/>
  </bookViews>
  <sheets>
    <sheet name="Schedule" sheetId="12" r:id="rId1"/>
    <sheet name="September - B1" sheetId="11" r:id="rId2"/>
    <sheet name="September - B2_B3" sheetId="13" r:id="rId3"/>
  </sheets>
  <externalReferences>
    <externalReference r:id="rId4"/>
    <externalReference r:id="rId5"/>
    <externalReference r:id="rId6"/>
  </externalReferences>
  <definedNames>
    <definedName name="_xlnm._FilterDatabase" localSheetId="0" hidden="1">Schedule!$B$2:$E$169</definedName>
    <definedName name="_xlnm._FilterDatabase" localSheetId="1" hidden="1">'September - B1'!$B$2:$M$169</definedName>
    <definedName name="_xlnm._FilterDatabase" localSheetId="2" hidden="1">'September - B2_B3'!$A$2:$O$119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9" i="13" l="1"/>
  <c r="M119" i="13"/>
  <c r="N119" i="13" s="1"/>
  <c r="L119" i="13"/>
  <c r="O118" i="13"/>
  <c r="M118" i="13"/>
  <c r="N118" i="13" s="1"/>
  <c r="L118" i="13"/>
  <c r="O117" i="13"/>
  <c r="M117" i="13"/>
  <c r="N117" i="13" s="1"/>
  <c r="L117" i="13"/>
  <c r="O116" i="13"/>
  <c r="M116" i="13"/>
  <c r="N116" i="13" s="1"/>
  <c r="L116" i="13"/>
  <c r="O115" i="13"/>
  <c r="M115" i="13"/>
  <c r="N115" i="13" s="1"/>
  <c r="L115" i="13"/>
  <c r="O114" i="13"/>
  <c r="M114" i="13"/>
  <c r="N114" i="13" s="1"/>
  <c r="L114" i="13"/>
  <c r="O113" i="13"/>
  <c r="M113" i="13"/>
  <c r="N113" i="13" s="1"/>
  <c r="L113" i="13"/>
  <c r="O112" i="13"/>
  <c r="M112" i="13"/>
  <c r="N112" i="13" s="1"/>
  <c r="L112" i="13"/>
  <c r="O111" i="13"/>
  <c r="M111" i="13"/>
  <c r="N111" i="13" s="1"/>
  <c r="L111" i="13"/>
  <c r="O110" i="13"/>
  <c r="L110" i="13"/>
  <c r="B110" i="13"/>
  <c r="M110" i="13" s="1"/>
  <c r="N110" i="13" s="1"/>
  <c r="O109" i="13"/>
  <c r="M109" i="13"/>
  <c r="N109" i="13" s="1"/>
  <c r="L109" i="13"/>
  <c r="O108" i="13"/>
  <c r="M108" i="13"/>
  <c r="N108" i="13" s="1"/>
  <c r="L108" i="13"/>
  <c r="O107" i="13"/>
  <c r="M107" i="13"/>
  <c r="N107" i="13" s="1"/>
  <c r="L107" i="13"/>
  <c r="O106" i="13"/>
  <c r="M106" i="13"/>
  <c r="N106" i="13" s="1"/>
  <c r="L106" i="13"/>
  <c r="O105" i="13"/>
  <c r="M105" i="13"/>
  <c r="N105" i="13" s="1"/>
  <c r="L105" i="13"/>
  <c r="O104" i="13"/>
  <c r="M104" i="13"/>
  <c r="N104" i="13" s="1"/>
  <c r="L104" i="13"/>
  <c r="O103" i="13"/>
  <c r="M103" i="13"/>
  <c r="N103" i="13" s="1"/>
  <c r="L103" i="13"/>
  <c r="O102" i="13"/>
  <c r="M102" i="13"/>
  <c r="N102" i="13" s="1"/>
  <c r="L102" i="13"/>
  <c r="O101" i="13"/>
  <c r="M101" i="13"/>
  <c r="N101" i="13" s="1"/>
  <c r="L101" i="13"/>
  <c r="O100" i="13"/>
  <c r="M100" i="13"/>
  <c r="N100" i="13" s="1"/>
  <c r="L100" i="13"/>
  <c r="O99" i="13"/>
  <c r="M99" i="13"/>
  <c r="N99" i="13" s="1"/>
  <c r="L99" i="13"/>
  <c r="O98" i="13"/>
  <c r="M98" i="13"/>
  <c r="N98" i="13" s="1"/>
  <c r="L98" i="13"/>
  <c r="O97" i="13"/>
  <c r="M97" i="13"/>
  <c r="N97" i="13" s="1"/>
  <c r="L97" i="13"/>
  <c r="O96" i="13"/>
  <c r="M96" i="13"/>
  <c r="N96" i="13" s="1"/>
  <c r="L96" i="13"/>
  <c r="O95" i="13"/>
  <c r="M95" i="13"/>
  <c r="N95" i="13" s="1"/>
  <c r="L95" i="13"/>
  <c r="O94" i="13"/>
  <c r="M94" i="13"/>
  <c r="N94" i="13" s="1"/>
  <c r="L94" i="13"/>
  <c r="O93" i="13"/>
  <c r="M93" i="13"/>
  <c r="N93" i="13" s="1"/>
  <c r="L93" i="13"/>
  <c r="O92" i="13"/>
  <c r="M92" i="13"/>
  <c r="N92" i="13" s="1"/>
  <c r="L92" i="13"/>
  <c r="O91" i="13"/>
  <c r="M91" i="13"/>
  <c r="N91" i="13" s="1"/>
  <c r="L91" i="13"/>
  <c r="O90" i="13"/>
  <c r="M90" i="13"/>
  <c r="N90" i="13" s="1"/>
  <c r="L90" i="13"/>
  <c r="O89" i="13"/>
  <c r="M89" i="13"/>
  <c r="N89" i="13" s="1"/>
  <c r="L89" i="13"/>
  <c r="O88" i="13"/>
  <c r="M88" i="13"/>
  <c r="N88" i="13" s="1"/>
  <c r="L88" i="13"/>
  <c r="O87" i="13"/>
  <c r="M87" i="13"/>
  <c r="N87" i="13" s="1"/>
  <c r="L87" i="13"/>
  <c r="O86" i="13"/>
  <c r="M86" i="13"/>
  <c r="N86" i="13" s="1"/>
  <c r="L86" i="13"/>
  <c r="O85" i="13"/>
  <c r="M85" i="13"/>
  <c r="N85" i="13" s="1"/>
  <c r="L85" i="13"/>
  <c r="O84" i="13"/>
  <c r="M84" i="13"/>
  <c r="N84" i="13" s="1"/>
  <c r="L84" i="13"/>
  <c r="O83" i="13"/>
  <c r="M83" i="13"/>
  <c r="N83" i="13" s="1"/>
  <c r="L83" i="13"/>
  <c r="O82" i="13"/>
  <c r="M82" i="13"/>
  <c r="N82" i="13" s="1"/>
  <c r="L82" i="13"/>
  <c r="O81" i="13"/>
  <c r="M81" i="13"/>
  <c r="N81" i="13" s="1"/>
  <c r="L81" i="13"/>
  <c r="O80" i="13"/>
  <c r="M80" i="13"/>
  <c r="N80" i="13" s="1"/>
  <c r="L80" i="13"/>
  <c r="O79" i="13"/>
  <c r="M79" i="13"/>
  <c r="N79" i="13" s="1"/>
  <c r="L79" i="13"/>
  <c r="O78" i="13"/>
  <c r="M78" i="13"/>
  <c r="N78" i="13" s="1"/>
  <c r="L78" i="13"/>
  <c r="O77" i="13"/>
  <c r="M77" i="13"/>
  <c r="N77" i="13" s="1"/>
  <c r="L77" i="13"/>
  <c r="O76" i="13"/>
  <c r="M76" i="13"/>
  <c r="N76" i="13" s="1"/>
  <c r="L76" i="13"/>
  <c r="O75" i="13"/>
  <c r="M75" i="13"/>
  <c r="N75" i="13" s="1"/>
  <c r="L75" i="13"/>
  <c r="O74" i="13"/>
  <c r="M74" i="13"/>
  <c r="N74" i="13" s="1"/>
  <c r="L74" i="13"/>
  <c r="O73" i="13"/>
  <c r="M73" i="13"/>
  <c r="N73" i="13" s="1"/>
  <c r="L73" i="13"/>
  <c r="O72" i="13"/>
  <c r="M72" i="13"/>
  <c r="N72" i="13" s="1"/>
  <c r="L72" i="13"/>
  <c r="O71" i="13"/>
  <c r="M71" i="13"/>
  <c r="N71" i="13" s="1"/>
  <c r="L71" i="13"/>
  <c r="O70" i="13"/>
  <c r="M70" i="13"/>
  <c r="N70" i="13" s="1"/>
  <c r="L70" i="13"/>
  <c r="O69" i="13"/>
  <c r="M69" i="13"/>
  <c r="N69" i="13" s="1"/>
  <c r="L69" i="13"/>
  <c r="O68" i="13"/>
  <c r="M68" i="13"/>
  <c r="N68" i="13" s="1"/>
  <c r="L68" i="13"/>
  <c r="O67" i="13"/>
  <c r="M67" i="13"/>
  <c r="N67" i="13" s="1"/>
  <c r="L67" i="13"/>
  <c r="O66" i="13"/>
  <c r="M66" i="13"/>
  <c r="N66" i="13" s="1"/>
  <c r="L66" i="13"/>
  <c r="O65" i="13"/>
  <c r="M65" i="13"/>
  <c r="N65" i="13" s="1"/>
  <c r="L65" i="13"/>
  <c r="O64" i="13"/>
  <c r="M64" i="13"/>
  <c r="N64" i="13" s="1"/>
  <c r="L64" i="13"/>
  <c r="O63" i="13"/>
  <c r="M63" i="13"/>
  <c r="N63" i="13" s="1"/>
  <c r="L63" i="13"/>
  <c r="O62" i="13"/>
  <c r="M62" i="13"/>
  <c r="N62" i="13" s="1"/>
  <c r="L62" i="13"/>
  <c r="O61" i="13"/>
  <c r="M61" i="13"/>
  <c r="N61" i="13" s="1"/>
  <c r="L61" i="13"/>
  <c r="O60" i="13"/>
  <c r="M60" i="13"/>
  <c r="N60" i="13" s="1"/>
  <c r="L60" i="13"/>
  <c r="O59" i="13"/>
  <c r="M59" i="13"/>
  <c r="N59" i="13" s="1"/>
  <c r="L59" i="13"/>
  <c r="O58" i="13"/>
  <c r="M58" i="13"/>
  <c r="N58" i="13" s="1"/>
  <c r="L58" i="13"/>
  <c r="O57" i="13"/>
  <c r="M57" i="13"/>
  <c r="N57" i="13" s="1"/>
  <c r="L57" i="13"/>
  <c r="O56" i="13"/>
  <c r="M56" i="13"/>
  <c r="N56" i="13" s="1"/>
  <c r="L56" i="13"/>
  <c r="O55" i="13"/>
  <c r="M55" i="13"/>
  <c r="N55" i="13" s="1"/>
  <c r="L55" i="13"/>
  <c r="O54" i="13"/>
  <c r="M54" i="13"/>
  <c r="N54" i="13" s="1"/>
  <c r="L54" i="13"/>
  <c r="O53" i="13"/>
  <c r="M53" i="13"/>
  <c r="N53" i="13" s="1"/>
  <c r="L53" i="13"/>
  <c r="O52" i="13"/>
  <c r="M52" i="13"/>
  <c r="N52" i="13" s="1"/>
  <c r="L52" i="13"/>
  <c r="O51" i="13"/>
  <c r="M51" i="13"/>
  <c r="N51" i="13" s="1"/>
  <c r="L51" i="13"/>
  <c r="O50" i="13"/>
  <c r="M50" i="13"/>
  <c r="N50" i="13" s="1"/>
  <c r="L50" i="13"/>
  <c r="O49" i="13"/>
  <c r="M49" i="13"/>
  <c r="N49" i="13" s="1"/>
  <c r="L49" i="13"/>
  <c r="O48" i="13"/>
  <c r="M48" i="13"/>
  <c r="N48" i="13" s="1"/>
  <c r="L48" i="13"/>
  <c r="O47" i="13"/>
  <c r="M47" i="13"/>
  <c r="N47" i="13" s="1"/>
  <c r="L47" i="13"/>
  <c r="O46" i="13"/>
  <c r="M46" i="13"/>
  <c r="N46" i="13" s="1"/>
  <c r="L46" i="13"/>
  <c r="O45" i="13"/>
  <c r="M45" i="13"/>
  <c r="N45" i="13" s="1"/>
  <c r="L45" i="13"/>
  <c r="O44" i="13"/>
  <c r="M44" i="13"/>
  <c r="N44" i="13" s="1"/>
  <c r="L44" i="13"/>
  <c r="O43" i="13"/>
  <c r="M43" i="13"/>
  <c r="N43" i="13" s="1"/>
  <c r="L43" i="13"/>
  <c r="O42" i="13"/>
  <c r="M42" i="13"/>
  <c r="N42" i="13" s="1"/>
  <c r="L42" i="13"/>
  <c r="O41" i="13"/>
  <c r="M41" i="13"/>
  <c r="N41" i="13" s="1"/>
  <c r="L41" i="13"/>
  <c r="O40" i="13"/>
  <c r="M40" i="13"/>
  <c r="N40" i="13" s="1"/>
  <c r="L40" i="13"/>
  <c r="O39" i="13"/>
  <c r="M39" i="13"/>
  <c r="N39" i="13" s="1"/>
  <c r="L39" i="13"/>
  <c r="O38" i="13"/>
  <c r="M38" i="13"/>
  <c r="N38" i="13" s="1"/>
  <c r="L38" i="13"/>
  <c r="O37" i="13"/>
  <c r="M37" i="13"/>
  <c r="N37" i="13" s="1"/>
  <c r="L37" i="13"/>
  <c r="O36" i="13"/>
  <c r="M36" i="13"/>
  <c r="N36" i="13" s="1"/>
  <c r="L36" i="13"/>
  <c r="O35" i="13"/>
  <c r="M35" i="13"/>
  <c r="N35" i="13" s="1"/>
  <c r="L35" i="13"/>
  <c r="O34" i="13"/>
  <c r="M34" i="13"/>
  <c r="N34" i="13" s="1"/>
  <c r="L34" i="13"/>
  <c r="O33" i="13"/>
  <c r="M33" i="13"/>
  <c r="N33" i="13" s="1"/>
  <c r="L33" i="13"/>
  <c r="O32" i="13"/>
  <c r="M32" i="13"/>
  <c r="N32" i="13" s="1"/>
  <c r="L32" i="13"/>
  <c r="O31" i="13"/>
  <c r="M31" i="13"/>
  <c r="N31" i="13" s="1"/>
  <c r="L31" i="13"/>
  <c r="O30" i="13"/>
  <c r="M30" i="13"/>
  <c r="N30" i="13" s="1"/>
  <c r="L30" i="13"/>
  <c r="O29" i="13"/>
  <c r="M29" i="13"/>
  <c r="N29" i="13" s="1"/>
  <c r="L29" i="13"/>
  <c r="O28" i="13"/>
  <c r="M28" i="13"/>
  <c r="N28" i="13" s="1"/>
  <c r="L28" i="13"/>
  <c r="O27" i="13"/>
  <c r="M27" i="13"/>
  <c r="N27" i="13" s="1"/>
  <c r="L27" i="13"/>
  <c r="O26" i="13"/>
  <c r="M26" i="13"/>
  <c r="N26" i="13" s="1"/>
  <c r="L26" i="13"/>
  <c r="O25" i="13"/>
  <c r="M25" i="13"/>
  <c r="N25" i="13" s="1"/>
  <c r="L25" i="13"/>
  <c r="O24" i="13"/>
  <c r="M24" i="13"/>
  <c r="N24" i="13" s="1"/>
  <c r="L24" i="13"/>
  <c r="O23" i="13"/>
  <c r="M23" i="13"/>
  <c r="N23" i="13" s="1"/>
  <c r="L23" i="13"/>
  <c r="O22" i="13"/>
  <c r="M22" i="13"/>
  <c r="N22" i="13" s="1"/>
  <c r="L22" i="13"/>
  <c r="O21" i="13"/>
  <c r="M21" i="13"/>
  <c r="N21" i="13" s="1"/>
  <c r="L21" i="13"/>
  <c r="O20" i="13"/>
  <c r="M20" i="13"/>
  <c r="N20" i="13" s="1"/>
  <c r="L20" i="13"/>
  <c r="O19" i="13"/>
  <c r="M19" i="13"/>
  <c r="N19" i="13" s="1"/>
  <c r="L19" i="13"/>
  <c r="O18" i="13"/>
  <c r="M18" i="13"/>
  <c r="N18" i="13" s="1"/>
  <c r="L18" i="13"/>
  <c r="O17" i="13"/>
  <c r="M17" i="13"/>
  <c r="N17" i="13" s="1"/>
  <c r="L17" i="13"/>
  <c r="O16" i="13"/>
  <c r="M16" i="13"/>
  <c r="N16" i="13" s="1"/>
  <c r="L16" i="13"/>
  <c r="O15" i="13"/>
  <c r="M15" i="13"/>
  <c r="N15" i="13" s="1"/>
  <c r="L15" i="13"/>
  <c r="O14" i="13"/>
  <c r="M14" i="13"/>
  <c r="N14" i="13" s="1"/>
  <c r="L14" i="13"/>
  <c r="O13" i="13"/>
  <c r="M13" i="13"/>
  <c r="N13" i="13" s="1"/>
  <c r="L13" i="13"/>
  <c r="O12" i="13"/>
  <c r="M12" i="13"/>
  <c r="N12" i="13" s="1"/>
  <c r="L12" i="13"/>
  <c r="O11" i="13"/>
  <c r="M11" i="13"/>
  <c r="N11" i="13" s="1"/>
  <c r="L11" i="13"/>
  <c r="O10" i="13"/>
  <c r="M10" i="13"/>
  <c r="N10" i="13" s="1"/>
  <c r="L10" i="13"/>
  <c r="O9" i="13"/>
  <c r="M9" i="13"/>
  <c r="N9" i="13" s="1"/>
  <c r="L9" i="13"/>
  <c r="O8" i="13"/>
  <c r="M8" i="13"/>
  <c r="N8" i="13" s="1"/>
  <c r="L8" i="13"/>
  <c r="O7" i="13"/>
  <c r="M7" i="13"/>
  <c r="N7" i="13" s="1"/>
  <c r="L7" i="13"/>
  <c r="O6" i="13"/>
  <c r="M6" i="13"/>
  <c r="N6" i="13" s="1"/>
  <c r="L6" i="13"/>
  <c r="O5" i="13"/>
  <c r="M5" i="13"/>
  <c r="N5" i="13" s="1"/>
  <c r="L5" i="13"/>
  <c r="O4" i="13"/>
  <c r="M4" i="13"/>
  <c r="N4" i="13" s="1"/>
  <c r="L4" i="13"/>
  <c r="O3" i="13"/>
  <c r="M3" i="13"/>
  <c r="N3" i="13" s="1"/>
  <c r="L3" i="13"/>
  <c r="L63" i="11"/>
  <c r="L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3" i="11"/>
  <c r="M4" i="11"/>
  <c r="N4" i="11" s="1"/>
  <c r="M5" i="11"/>
  <c r="N5" i="11" s="1"/>
  <c r="M6" i="11"/>
  <c r="N6" i="11" s="1"/>
  <c r="M7" i="11"/>
  <c r="N7" i="11" s="1"/>
  <c r="M8" i="11"/>
  <c r="N8" i="11" s="1"/>
  <c r="M9" i="11"/>
  <c r="N9" i="11" s="1"/>
  <c r="M10" i="11"/>
  <c r="N10" i="11" s="1"/>
  <c r="M11" i="11"/>
  <c r="N11" i="11" s="1"/>
  <c r="M12" i="11"/>
  <c r="N12" i="11" s="1"/>
  <c r="M13" i="11"/>
  <c r="N13" i="11" s="1"/>
  <c r="M14" i="11"/>
  <c r="N14" i="11" s="1"/>
  <c r="M15" i="11"/>
  <c r="N15" i="11" s="1"/>
  <c r="M16" i="11"/>
  <c r="N16" i="11" s="1"/>
  <c r="M17" i="11"/>
  <c r="N17" i="11" s="1"/>
  <c r="M18" i="11"/>
  <c r="N18" i="11" s="1"/>
  <c r="M19" i="11"/>
  <c r="N19" i="11" s="1"/>
  <c r="M20" i="11"/>
  <c r="N20" i="11" s="1"/>
  <c r="M21" i="11"/>
  <c r="N21" i="11" s="1"/>
  <c r="M22" i="11"/>
  <c r="N22" i="11" s="1"/>
  <c r="M23" i="11"/>
  <c r="N23" i="11" s="1"/>
  <c r="M24" i="11"/>
  <c r="N24" i="11" s="1"/>
  <c r="M25" i="11"/>
  <c r="N25" i="11" s="1"/>
  <c r="M26" i="11"/>
  <c r="N26" i="11" s="1"/>
  <c r="M27" i="11"/>
  <c r="N27" i="11" s="1"/>
  <c r="M28" i="11"/>
  <c r="N28" i="11" s="1"/>
  <c r="M29" i="11"/>
  <c r="N29" i="11" s="1"/>
  <c r="M30" i="11"/>
  <c r="N30" i="11" s="1"/>
  <c r="M31" i="11"/>
  <c r="N31" i="11" s="1"/>
  <c r="M32" i="11"/>
  <c r="N32" i="11" s="1"/>
  <c r="M33" i="11"/>
  <c r="N33" i="11" s="1"/>
  <c r="M34" i="11"/>
  <c r="N34" i="11" s="1"/>
  <c r="M35" i="11"/>
  <c r="N35" i="11" s="1"/>
  <c r="M36" i="11"/>
  <c r="N36" i="11" s="1"/>
  <c r="M37" i="11"/>
  <c r="N37" i="11" s="1"/>
  <c r="M38" i="11"/>
  <c r="N38" i="11" s="1"/>
  <c r="M39" i="11"/>
  <c r="N39" i="11" s="1"/>
  <c r="M40" i="11"/>
  <c r="N40" i="11" s="1"/>
  <c r="M41" i="11"/>
  <c r="N41" i="11" s="1"/>
  <c r="M42" i="11"/>
  <c r="N42" i="11" s="1"/>
  <c r="M43" i="11"/>
  <c r="N43" i="11" s="1"/>
  <c r="M44" i="11"/>
  <c r="N44" i="11" s="1"/>
  <c r="M45" i="11"/>
  <c r="N45" i="11" s="1"/>
  <c r="M46" i="11"/>
  <c r="N46" i="11" s="1"/>
  <c r="M47" i="11"/>
  <c r="N47" i="11" s="1"/>
  <c r="M48" i="11"/>
  <c r="N48" i="11" s="1"/>
  <c r="M49" i="11"/>
  <c r="N49" i="11" s="1"/>
  <c r="M50" i="11"/>
  <c r="N50" i="11" s="1"/>
  <c r="M51" i="11"/>
  <c r="N51" i="11" s="1"/>
  <c r="M52" i="11"/>
  <c r="N52" i="11" s="1"/>
  <c r="M53" i="11"/>
  <c r="N53" i="11" s="1"/>
  <c r="M54" i="11"/>
  <c r="N54" i="11" s="1"/>
  <c r="M55" i="11"/>
  <c r="N55" i="11" s="1"/>
  <c r="M56" i="11"/>
  <c r="N56" i="11" s="1"/>
  <c r="M57" i="11"/>
  <c r="N57" i="11" s="1"/>
  <c r="M58" i="11"/>
  <c r="N58" i="11" s="1"/>
  <c r="M59" i="11"/>
  <c r="N59" i="11" s="1"/>
  <c r="M60" i="11"/>
  <c r="N60" i="11" s="1"/>
  <c r="M61" i="11"/>
  <c r="N61" i="11" s="1"/>
  <c r="M62" i="11"/>
  <c r="N62" i="11" s="1"/>
  <c r="M63" i="11"/>
  <c r="N63" i="11" s="1"/>
  <c r="M64" i="11"/>
  <c r="N64" i="11" s="1"/>
  <c r="M65" i="11"/>
  <c r="N65" i="11" s="1"/>
  <c r="M66" i="11"/>
  <c r="N66" i="11" s="1"/>
  <c r="M67" i="11"/>
  <c r="N67" i="11" s="1"/>
  <c r="M68" i="11"/>
  <c r="N68" i="11" s="1"/>
  <c r="M69" i="11"/>
  <c r="N69" i="11" s="1"/>
  <c r="M70" i="11"/>
  <c r="N70" i="11" s="1"/>
  <c r="M71" i="11"/>
  <c r="N71" i="11" s="1"/>
  <c r="M72" i="11"/>
  <c r="N72" i="11" s="1"/>
  <c r="M73" i="11"/>
  <c r="N73" i="11" s="1"/>
  <c r="M74" i="11"/>
  <c r="N74" i="11" s="1"/>
  <c r="M75" i="11"/>
  <c r="N75" i="11" s="1"/>
  <c r="M76" i="11"/>
  <c r="N76" i="11" s="1"/>
  <c r="M77" i="11"/>
  <c r="N77" i="11" s="1"/>
  <c r="M78" i="11"/>
  <c r="N78" i="11" s="1"/>
  <c r="M79" i="11"/>
  <c r="N79" i="11" s="1"/>
  <c r="M80" i="11"/>
  <c r="N80" i="11" s="1"/>
  <c r="M81" i="11"/>
  <c r="N81" i="11" s="1"/>
  <c r="M82" i="11"/>
  <c r="N82" i="11" s="1"/>
  <c r="M83" i="11"/>
  <c r="N83" i="11" s="1"/>
  <c r="M84" i="11"/>
  <c r="N84" i="11" s="1"/>
  <c r="M85" i="11"/>
  <c r="N85" i="11" s="1"/>
  <c r="M86" i="11"/>
  <c r="N86" i="11" s="1"/>
  <c r="M87" i="11"/>
  <c r="N87" i="11" s="1"/>
  <c r="M88" i="11"/>
  <c r="N88" i="11" s="1"/>
  <c r="M89" i="11"/>
  <c r="N89" i="11" s="1"/>
  <c r="M90" i="11"/>
  <c r="N90" i="11" s="1"/>
  <c r="M91" i="11"/>
  <c r="N91" i="11" s="1"/>
  <c r="M92" i="11"/>
  <c r="N92" i="11" s="1"/>
  <c r="M93" i="11"/>
  <c r="N93" i="11" s="1"/>
  <c r="M94" i="11"/>
  <c r="N94" i="11" s="1"/>
  <c r="M95" i="11"/>
  <c r="N95" i="11" s="1"/>
  <c r="M96" i="11"/>
  <c r="N96" i="11" s="1"/>
  <c r="M97" i="11"/>
  <c r="N97" i="11" s="1"/>
  <c r="M98" i="11"/>
  <c r="N98" i="11" s="1"/>
  <c r="M99" i="11"/>
  <c r="N99" i="11" s="1"/>
  <c r="M100" i="11"/>
  <c r="N100" i="11" s="1"/>
  <c r="M101" i="11"/>
  <c r="N101" i="11" s="1"/>
  <c r="M102" i="11"/>
  <c r="N102" i="11" s="1"/>
  <c r="M103" i="11"/>
  <c r="N103" i="11" s="1"/>
  <c r="M104" i="11"/>
  <c r="N104" i="11" s="1"/>
  <c r="M105" i="11"/>
  <c r="N105" i="11" s="1"/>
  <c r="M106" i="11"/>
  <c r="N106" i="11" s="1"/>
  <c r="M107" i="11"/>
  <c r="N107" i="11" s="1"/>
  <c r="M108" i="11"/>
  <c r="N108" i="11" s="1"/>
  <c r="M109" i="11"/>
  <c r="N109" i="11" s="1"/>
  <c r="M110" i="11"/>
  <c r="N110" i="11" s="1"/>
  <c r="M111" i="11"/>
  <c r="N111" i="11" s="1"/>
  <c r="M112" i="11"/>
  <c r="N112" i="11" s="1"/>
  <c r="M113" i="11"/>
  <c r="N113" i="11" s="1"/>
  <c r="M114" i="11"/>
  <c r="N114" i="11" s="1"/>
  <c r="M115" i="11"/>
  <c r="N115" i="11" s="1"/>
  <c r="M116" i="11"/>
  <c r="N116" i="11" s="1"/>
  <c r="M117" i="11"/>
  <c r="N117" i="11" s="1"/>
  <c r="M118" i="11"/>
  <c r="N118" i="11" s="1"/>
  <c r="M119" i="11"/>
  <c r="N119" i="11" s="1"/>
  <c r="M120" i="11"/>
  <c r="N120" i="11" s="1"/>
  <c r="M121" i="11"/>
  <c r="N121" i="11" s="1"/>
  <c r="M122" i="11"/>
  <c r="N122" i="11" s="1"/>
  <c r="M123" i="11"/>
  <c r="N123" i="11" s="1"/>
  <c r="M124" i="11"/>
  <c r="N124" i="11" s="1"/>
  <c r="M125" i="11"/>
  <c r="N125" i="11" s="1"/>
  <c r="M126" i="11"/>
  <c r="N126" i="11" s="1"/>
  <c r="M127" i="11"/>
  <c r="N127" i="11" s="1"/>
  <c r="M128" i="11"/>
  <c r="N128" i="11" s="1"/>
  <c r="M129" i="11"/>
  <c r="N129" i="11" s="1"/>
  <c r="M130" i="11"/>
  <c r="N130" i="11" s="1"/>
  <c r="M131" i="11"/>
  <c r="N131" i="11" s="1"/>
  <c r="M132" i="11"/>
  <c r="N132" i="11" s="1"/>
  <c r="M133" i="11"/>
  <c r="N133" i="11" s="1"/>
  <c r="M134" i="11"/>
  <c r="N134" i="11" s="1"/>
  <c r="M135" i="11"/>
  <c r="N135" i="11" s="1"/>
  <c r="M136" i="11"/>
  <c r="N136" i="11" s="1"/>
  <c r="M137" i="11"/>
  <c r="N137" i="11" s="1"/>
  <c r="M138" i="11"/>
  <c r="N138" i="11" s="1"/>
  <c r="M139" i="11"/>
  <c r="N139" i="11" s="1"/>
  <c r="M140" i="11"/>
  <c r="N140" i="11" s="1"/>
  <c r="M141" i="11"/>
  <c r="N141" i="11" s="1"/>
  <c r="M142" i="11"/>
  <c r="N142" i="11" s="1"/>
  <c r="M143" i="11"/>
  <c r="N143" i="11" s="1"/>
  <c r="M144" i="11"/>
  <c r="N144" i="11" s="1"/>
  <c r="M145" i="11"/>
  <c r="N145" i="11" s="1"/>
  <c r="M146" i="11"/>
  <c r="N146" i="11" s="1"/>
  <c r="M147" i="11"/>
  <c r="N147" i="11" s="1"/>
  <c r="M148" i="11"/>
  <c r="N148" i="11" s="1"/>
  <c r="M149" i="11"/>
  <c r="N149" i="11" s="1"/>
  <c r="M150" i="11"/>
  <c r="N150" i="11" s="1"/>
  <c r="M151" i="11"/>
  <c r="N151" i="11" s="1"/>
  <c r="M152" i="11"/>
  <c r="N152" i="11" s="1"/>
  <c r="M153" i="11"/>
  <c r="N153" i="11" s="1"/>
  <c r="M154" i="11"/>
  <c r="N154" i="11" s="1"/>
  <c r="M155" i="11"/>
  <c r="N155" i="11" s="1"/>
  <c r="M156" i="11"/>
  <c r="N156" i="11" s="1"/>
  <c r="M157" i="11"/>
  <c r="N157" i="11" s="1"/>
  <c r="M158" i="11"/>
  <c r="N158" i="11" s="1"/>
  <c r="M159" i="11"/>
  <c r="N159" i="11" s="1"/>
  <c r="M160" i="11"/>
  <c r="N160" i="11" s="1"/>
  <c r="M161" i="11"/>
  <c r="N161" i="11" s="1"/>
  <c r="M162" i="11"/>
  <c r="N162" i="11" s="1"/>
  <c r="M163" i="11"/>
  <c r="N163" i="11" s="1"/>
  <c r="M164" i="11"/>
  <c r="N164" i="11" s="1"/>
  <c r="M165" i="11"/>
  <c r="N165" i="11" s="1"/>
  <c r="M166" i="11"/>
  <c r="N166" i="11" s="1"/>
  <c r="M167" i="11"/>
  <c r="N167" i="11" s="1"/>
  <c r="M168" i="11"/>
  <c r="N168" i="11" s="1"/>
  <c r="M169" i="11"/>
  <c r="N169" i="11" s="1"/>
  <c r="M3" i="11"/>
  <c r="N3" i="11" s="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</calcChain>
</file>

<file path=xl/sharedStrings.xml><?xml version="1.0" encoding="utf-8"?>
<sst xmlns="http://schemas.openxmlformats.org/spreadsheetml/2006/main" count="1971" uniqueCount="600">
  <si>
    <t>Station</t>
  </si>
  <si>
    <t>Account Number</t>
  </si>
  <si>
    <t>Total Bill</t>
  </si>
  <si>
    <t>Due Date</t>
  </si>
  <si>
    <t>Ahero</t>
  </si>
  <si>
    <t>06/10/2026</t>
  </si>
  <si>
    <t>Alendu</t>
  </si>
  <si>
    <t>07/10/2026</t>
  </si>
  <si>
    <t>Anyuongi</t>
  </si>
  <si>
    <t>Arwos</t>
  </si>
  <si>
    <t>Athi River</t>
  </si>
  <si>
    <t>Awasi</t>
  </si>
  <si>
    <t>Baharini</t>
  </si>
  <si>
    <t>Bakulei</t>
  </si>
  <si>
    <t>Baricho</t>
  </si>
  <si>
    <t>Bondeni</t>
  </si>
  <si>
    <t>Bondo</t>
  </si>
  <si>
    <t>Boro</t>
  </si>
  <si>
    <t>193236247</t>
  </si>
  <si>
    <t>Bronjo</t>
  </si>
  <si>
    <t>Chembulet</t>
  </si>
  <si>
    <t>Chepkorio</t>
  </si>
  <si>
    <t>30/09/2026</t>
  </si>
  <si>
    <t>Chianda</t>
  </si>
  <si>
    <t>Chiga</t>
  </si>
  <si>
    <t>Chuka</t>
  </si>
  <si>
    <t>Daraja Mbili</t>
  </si>
  <si>
    <t>Devki</t>
  </si>
  <si>
    <t>Elgons</t>
  </si>
  <si>
    <t>22/09/2026</t>
  </si>
  <si>
    <t>Embakasi</t>
  </si>
  <si>
    <t>FEDHA</t>
  </si>
  <si>
    <t>Flax</t>
  </si>
  <si>
    <t>Gachie</t>
  </si>
  <si>
    <t>Gatua</t>
  </si>
  <si>
    <t>Getare</t>
  </si>
  <si>
    <t>Getuya</t>
  </si>
  <si>
    <t>Gilgil Town</t>
  </si>
  <si>
    <t>GITHURAI - 45</t>
  </si>
  <si>
    <t>Githurai 45 2</t>
  </si>
  <si>
    <t>Got Rabuor</t>
  </si>
  <si>
    <t>GRANDPRI CBD ELDORET</t>
  </si>
  <si>
    <t>Highpoint</t>
  </si>
  <si>
    <t>Ikalaasa</t>
  </si>
  <si>
    <t>Imbo</t>
  </si>
  <si>
    <t>Iten Town</t>
  </si>
  <si>
    <t>Jogoo Rd (Oryx) 1</t>
  </si>
  <si>
    <t>Joska</t>
  </si>
  <si>
    <t>Josmat</t>
  </si>
  <si>
    <t>Kaani</t>
  </si>
  <si>
    <t>Kabaa</t>
  </si>
  <si>
    <t>Kabartonjo</t>
  </si>
  <si>
    <t>02/10/2026</t>
  </si>
  <si>
    <t>Kadongo SS</t>
  </si>
  <si>
    <t>Kagio</t>
  </si>
  <si>
    <t>Kainange</t>
  </si>
  <si>
    <t>Kangeta</t>
  </si>
  <si>
    <t>197301829</t>
  </si>
  <si>
    <t>Kanyariri</t>
  </si>
  <si>
    <t>Kapkatet</t>
  </si>
  <si>
    <t>KAPSABET-2</t>
  </si>
  <si>
    <t>Kapseret</t>
  </si>
  <si>
    <t>Kapsoo</t>
  </si>
  <si>
    <t>Katheka kai</t>
  </si>
  <si>
    <t>Katito</t>
  </si>
  <si>
    <t>Kawangware Galana</t>
  </si>
  <si>
    <t>Kawethei</t>
  </si>
  <si>
    <t>Kayole</t>
  </si>
  <si>
    <t>Kayole Nakuru</t>
  </si>
  <si>
    <t>KEGATI - KISII</t>
  </si>
  <si>
    <t>Kemeloi</t>
  </si>
  <si>
    <t>Kemera</t>
  </si>
  <si>
    <t>14/09/2026</t>
  </si>
  <si>
    <t>Kenol Machakos</t>
  </si>
  <si>
    <t>Kiangwaci</t>
  </si>
  <si>
    <t>195840325</t>
  </si>
  <si>
    <t>Kianjai</t>
  </si>
  <si>
    <t>46007555</t>
  </si>
  <si>
    <t>Kiburu</t>
  </si>
  <si>
    <t>7/10/2026</t>
  </si>
  <si>
    <t>Kiirua</t>
  </si>
  <si>
    <t>166102984</t>
  </si>
  <si>
    <t>Kijeuri</t>
  </si>
  <si>
    <t>Kimbimbi</t>
  </si>
  <si>
    <t>Kimbo</t>
  </si>
  <si>
    <t>Kimumu (Iten Rd)</t>
  </si>
  <si>
    <t>Kinyui</t>
  </si>
  <si>
    <t>Kisumu (CBD)</t>
  </si>
  <si>
    <t>Kitengela 2</t>
  </si>
  <si>
    <t>Kitui Town Slota</t>
  </si>
  <si>
    <t>09/09/2026</t>
  </si>
  <si>
    <t>Kivutini</t>
  </si>
  <si>
    <t>KK Meru</t>
  </si>
  <si>
    <t>Kona Nandi</t>
  </si>
  <si>
    <t>Koyani</t>
  </si>
  <si>
    <t>Kutus</t>
  </si>
  <si>
    <t>Kyalavo</t>
  </si>
  <si>
    <t>Kyawango</t>
  </si>
  <si>
    <t>Kyua</t>
  </si>
  <si>
    <t>Langas</t>
  </si>
  <si>
    <t>Lemook</t>
  </si>
  <si>
    <t>Lessos</t>
  </si>
  <si>
    <t>Lincos</t>
  </si>
  <si>
    <t>08/10/2026</t>
  </si>
  <si>
    <t>Lower Kabete</t>
  </si>
  <si>
    <t>Magena</t>
  </si>
  <si>
    <t>Maili Kumi</t>
  </si>
  <si>
    <t>Mamboleo</t>
  </si>
  <si>
    <t>Manga</t>
  </si>
  <si>
    <t>Manyatta</t>
  </si>
  <si>
    <t>Manyuanda</t>
  </si>
  <si>
    <t>Marurui</t>
  </si>
  <si>
    <t>Masii</t>
  </si>
  <si>
    <t>Mavoko</t>
  </si>
  <si>
    <t>Mawlem</t>
  </si>
  <si>
    <t>Meena Collections</t>
  </si>
  <si>
    <t>Membley</t>
  </si>
  <si>
    <t>Meru Town</t>
  </si>
  <si>
    <t>mitaboni</t>
  </si>
  <si>
    <t>01/10/2026</t>
  </si>
  <si>
    <t>Mlolongo</t>
  </si>
  <si>
    <t>Mogonga</t>
  </si>
  <si>
    <t>Mogotio</t>
  </si>
  <si>
    <t>Molo</t>
  </si>
  <si>
    <t>Mosoriot</t>
  </si>
  <si>
    <t>Mugundoi</t>
  </si>
  <si>
    <t>mukukuni</t>
  </si>
  <si>
    <t>Muraru</t>
  </si>
  <si>
    <t>muriri</t>
  </si>
  <si>
    <t>Muthetheni</t>
  </si>
  <si>
    <t>Mutumbu</t>
  </si>
  <si>
    <t>Mwala</t>
  </si>
  <si>
    <t>Mwanzo</t>
  </si>
  <si>
    <t>Naca</t>
  </si>
  <si>
    <t>Nambale</t>
  </si>
  <si>
    <t>Nandi Hills</t>
  </si>
  <si>
    <t>Ndenderu</t>
  </si>
  <si>
    <t>Ndhiwa</t>
  </si>
  <si>
    <t>Ndigwa</t>
  </si>
  <si>
    <t>Ndiru</t>
  </si>
  <si>
    <t>Ndori</t>
  </si>
  <si>
    <t>Ndumberi</t>
  </si>
  <si>
    <t>Ndurio</t>
  </si>
  <si>
    <t>Ndwara</t>
  </si>
  <si>
    <t>Ngecha</t>
  </si>
  <si>
    <t>196463883</t>
  </si>
  <si>
    <t>Ngong</t>
  </si>
  <si>
    <t>Njoro</t>
  </si>
  <si>
    <t>Nkubu</t>
  </si>
  <si>
    <t>Nyadorera</t>
  </si>
  <si>
    <t>Nyamasaria -Kisumu</t>
  </si>
  <si>
    <t>Nyamira CBD</t>
  </si>
  <si>
    <t>23/07/2026</t>
  </si>
  <si>
    <t>Nyamonye</t>
  </si>
  <si>
    <t>Nyandiwa</t>
  </si>
  <si>
    <t>Nyangweso</t>
  </si>
  <si>
    <t>Nyatieko</t>
  </si>
  <si>
    <t>Obambo</t>
  </si>
  <si>
    <t>Olare</t>
  </si>
  <si>
    <t>Omboga</t>
  </si>
  <si>
    <t>Ombwede</t>
  </si>
  <si>
    <t>Otonglo (Costalina)</t>
  </si>
  <si>
    <t>05/10/2026</t>
  </si>
  <si>
    <t>Oyugis</t>
  </si>
  <si>
    <t>Rangenyo</t>
  </si>
  <si>
    <t>Regen</t>
  </si>
  <si>
    <t>Riat 1</t>
  </si>
  <si>
    <t>Riat 2</t>
  </si>
  <si>
    <t>Ringa</t>
  </si>
  <si>
    <t>Rodi Kopany</t>
  </si>
  <si>
    <t>Runyenjes</t>
  </si>
  <si>
    <t>198300218</t>
  </si>
  <si>
    <t>Runyenjes Previous</t>
  </si>
  <si>
    <t>Sega</t>
  </si>
  <si>
    <t>Shabaab</t>
  </si>
  <si>
    <t>Sikri</t>
  </si>
  <si>
    <t>Sogomo</t>
  </si>
  <si>
    <t>Soy</t>
  </si>
  <si>
    <t>Strawbarg</t>
  </si>
  <si>
    <t>Tala</t>
  </si>
  <si>
    <t>Theta</t>
  </si>
  <si>
    <t>Toll Station Thika Rd</t>
  </si>
  <si>
    <t>197339486</t>
  </si>
  <si>
    <t>Ugunja</t>
  </si>
  <si>
    <t>Ukwala</t>
  </si>
  <si>
    <t>UMOJA (Phase 1)</t>
  </si>
  <si>
    <t>Usenge</t>
  </si>
  <si>
    <t>UTHIRU</t>
  </si>
  <si>
    <t>Vyulya</t>
  </si>
  <si>
    <t>Wamunyu</t>
  </si>
  <si>
    <t>Zombe</t>
  </si>
  <si>
    <t>Boyani</t>
  </si>
  <si>
    <t>Buyangu</t>
  </si>
  <si>
    <t>Chavakali</t>
  </si>
  <si>
    <t>Eregi</t>
  </si>
  <si>
    <t>Kaimosi</t>
  </si>
  <si>
    <t>KAKAMEGA 2</t>
  </si>
  <si>
    <t>Luanda</t>
  </si>
  <si>
    <t>Mago</t>
  </si>
  <si>
    <t>Majengo Vihiga</t>
  </si>
  <si>
    <t>Mbale</t>
  </si>
  <si>
    <t>Mudete</t>
  </si>
  <si>
    <t>Musasa</t>
  </si>
  <si>
    <t>Sabatia</t>
  </si>
  <si>
    <t>Serem</t>
  </si>
  <si>
    <t>Vihiga Primary</t>
  </si>
  <si>
    <t>Dondi</t>
  </si>
  <si>
    <t>DANDORA (Phase 1)</t>
  </si>
  <si>
    <t>Galleria</t>
  </si>
  <si>
    <t>Kambiti</t>
  </si>
  <si>
    <t>Lucky Summer</t>
  </si>
  <si>
    <t>Mutomo</t>
  </si>
  <si>
    <t>Roasters</t>
  </si>
  <si>
    <t>RUAKA (GALANA)</t>
  </si>
  <si>
    <t>SUBARU (MOGO)</t>
  </si>
  <si>
    <t>Makuyu</t>
  </si>
  <si>
    <t>Matunda</t>
  </si>
  <si>
    <t>Machakos Town</t>
  </si>
  <si>
    <t>Mwea</t>
  </si>
  <si>
    <t>Sagana</t>
  </si>
  <si>
    <t>BAKARANI</t>
  </si>
  <si>
    <t>Bamburi Petrocity</t>
  </si>
  <si>
    <t>Changamwe</t>
  </si>
  <si>
    <t>Gongoni</t>
  </si>
  <si>
    <t>Jomvu Petrocity</t>
  </si>
  <si>
    <t>Kaloleni</t>
  </si>
  <si>
    <t>KILIFI</t>
  </si>
  <si>
    <t>Likoni 2</t>
  </si>
  <si>
    <t>LIKONI MOTORS</t>
  </si>
  <si>
    <t>LIKONI SHELLY BEACH</t>
  </si>
  <si>
    <t>MALINDI 2</t>
  </si>
  <si>
    <t>Malindi Kwa Chocha</t>
  </si>
  <si>
    <t>Malindi Maweni</t>
  </si>
  <si>
    <t>MARIAKANI</t>
  </si>
  <si>
    <t>Mbaraki</t>
  </si>
  <si>
    <t>Mombasa Warehouse</t>
  </si>
  <si>
    <t>MTWAPA 1</t>
  </si>
  <si>
    <t>MTWAPA PETROCITY</t>
  </si>
  <si>
    <t>NYALI CINEMAX</t>
  </si>
  <si>
    <t>Shanzu Petrocity</t>
  </si>
  <si>
    <t>Shariani</t>
  </si>
  <si>
    <t>TEZO</t>
  </si>
  <si>
    <t>UKUNDA- DIANI</t>
  </si>
  <si>
    <t>Utange 1</t>
  </si>
  <si>
    <t>UTANGE 2</t>
  </si>
  <si>
    <t>Voi CBD</t>
  </si>
  <si>
    <t>Voi Kaloleni</t>
  </si>
  <si>
    <t>WATAMU</t>
  </si>
  <si>
    <t>Bukura</t>
  </si>
  <si>
    <t>Bungoma 2</t>
  </si>
  <si>
    <t>Bushiri</t>
  </si>
  <si>
    <t>Butali</t>
  </si>
  <si>
    <t>Butere</t>
  </si>
  <si>
    <t>Chimoi</t>
  </si>
  <si>
    <t>Ejinja</t>
  </si>
  <si>
    <t>Ekero</t>
  </si>
  <si>
    <t>Ikonyero</t>
  </si>
  <si>
    <t>Ingoste</t>
  </si>
  <si>
    <t>Kabras</t>
  </si>
  <si>
    <t>Kakamega 3</t>
  </si>
  <si>
    <t>Kakoyi</t>
  </si>
  <si>
    <t>Kamkuywa</t>
  </si>
  <si>
    <t>Kanduyi</t>
  </si>
  <si>
    <t>Kapsokwony</t>
  </si>
  <si>
    <t>Kimaeti</t>
  </si>
  <si>
    <t>Kimang'eti</t>
  </si>
  <si>
    <t>Kimilili</t>
  </si>
  <si>
    <t>Kimwanga</t>
  </si>
  <si>
    <t>Makunga</t>
  </si>
  <si>
    <t>Makutano Bungoma</t>
  </si>
  <si>
    <t>Malava</t>
  </si>
  <si>
    <t>Mateka</t>
  </si>
  <si>
    <t>Mayanja</t>
  </si>
  <si>
    <t>MEENA KAKAMEGA</t>
  </si>
  <si>
    <t>Misikhu</t>
  </si>
  <si>
    <t>Muhuru Tagache SS</t>
  </si>
  <si>
    <t>Mulwanda</t>
  </si>
  <si>
    <t>Murhanda</t>
  </si>
  <si>
    <t>Musikoma</t>
  </si>
  <si>
    <t>Myanga</t>
  </si>
  <si>
    <t>Naitiri</t>
  </si>
  <si>
    <t>Nalondo</t>
  </si>
  <si>
    <t>Nashianda</t>
  </si>
  <si>
    <t>Rongo</t>
  </si>
  <si>
    <t>Shianda</t>
  </si>
  <si>
    <t>Shibuli</t>
  </si>
  <si>
    <t>Shinyalu</t>
  </si>
  <si>
    <t>Siaya Town</t>
  </si>
  <si>
    <t>Sirisia</t>
  </si>
  <si>
    <t>Webuye</t>
  </si>
  <si>
    <t>West Kenya</t>
  </si>
  <si>
    <t>Bukembe</t>
  </si>
  <si>
    <t>Malakisi</t>
  </si>
  <si>
    <t>Sang'alo</t>
  </si>
  <si>
    <t>Kehancha</t>
  </si>
  <si>
    <t>Malaba CBD</t>
  </si>
  <si>
    <t>Amukura</t>
  </si>
  <si>
    <t>Sidende</t>
  </si>
  <si>
    <t>Work Center</t>
  </si>
  <si>
    <t>Mucharage</t>
  </si>
  <si>
    <t>Bukandanyi</t>
  </si>
  <si>
    <t>Tabaka</t>
  </si>
  <si>
    <t>Suneka</t>
  </si>
  <si>
    <t>Busia CBD</t>
  </si>
  <si>
    <t>Meter Number</t>
  </si>
  <si>
    <t>Consumption</t>
  </si>
  <si>
    <t>Monthly Bill</t>
  </si>
  <si>
    <t>Method of Charge</t>
  </si>
  <si>
    <t>Off-Peak Hours</t>
  </si>
  <si>
    <t>Peak Hours</t>
  </si>
  <si>
    <t>Unit Cost</t>
  </si>
  <si>
    <t>Net SOC</t>
  </si>
  <si>
    <t>Net Energy</t>
  </si>
  <si>
    <t>Off-Peak %age</t>
  </si>
  <si>
    <t>25700852467</t>
  </si>
  <si>
    <t>23/08/2026-21/09/2026</t>
  </si>
  <si>
    <t>E-Mobility</t>
  </si>
  <si>
    <t>92802514031</t>
  </si>
  <si>
    <t>25700800169</t>
  </si>
  <si>
    <t>0277800001822</t>
  </si>
  <si>
    <t>92800450139</t>
  </si>
  <si>
    <t>26/08/2026-21/09/2026</t>
  </si>
  <si>
    <t>92802637428</t>
  </si>
  <si>
    <t>92802637436</t>
  </si>
  <si>
    <t>37288225552</t>
  </si>
  <si>
    <t>92802608346</t>
  </si>
  <si>
    <t>92802514049</t>
  </si>
  <si>
    <t>92802602653</t>
  </si>
  <si>
    <t>92802630464</t>
  </si>
  <si>
    <t>01/09/2026-21/09/2026</t>
  </si>
  <si>
    <t>060611992</t>
  </si>
  <si>
    <t>19/08/2026-16/09/2026</t>
  </si>
  <si>
    <t>Domestic Ordinary (DC3)</t>
  </si>
  <si>
    <t>92802551298</t>
  </si>
  <si>
    <t>92800480466</t>
  </si>
  <si>
    <t>37288274568</t>
  </si>
  <si>
    <t>0277800040143</t>
  </si>
  <si>
    <t>061184308</t>
  </si>
  <si>
    <t>06/08/2026-02/09/2026</t>
  </si>
  <si>
    <t>Domestic Lifeline (DC1)</t>
  </si>
  <si>
    <t>25700940619</t>
  </si>
  <si>
    <t>25700735993</t>
  </si>
  <si>
    <t>92802602612</t>
  </si>
  <si>
    <t>92802544723</t>
  </si>
  <si>
    <t>25700586149</t>
  </si>
  <si>
    <t>29/08/2026-21/09/2026</t>
  </si>
  <si>
    <t>Small Commercial (SC3)</t>
  </si>
  <si>
    <t>061495627</t>
  </si>
  <si>
    <t>07/08/2026-08/09/2026</t>
  </si>
  <si>
    <t>37288225586</t>
  </si>
  <si>
    <t>25700902940</t>
  </si>
  <si>
    <t>92802610490</t>
  </si>
  <si>
    <t>92802563871</t>
  </si>
  <si>
    <t>92802550043</t>
  </si>
  <si>
    <t>25700483784</t>
  </si>
  <si>
    <t>92800538537</t>
  </si>
  <si>
    <t>0277800011235</t>
  </si>
  <si>
    <t>92802493368</t>
  </si>
  <si>
    <t>25700562660</t>
  </si>
  <si>
    <t>Small Commercial (SC1)</t>
  </si>
  <si>
    <t>92800562255</t>
  </si>
  <si>
    <t>0277800070769</t>
  </si>
  <si>
    <t>0277800024931</t>
  </si>
  <si>
    <t>0277800041133</t>
  </si>
  <si>
    <t>0277800022430</t>
  </si>
  <si>
    <t>061633906</t>
  </si>
  <si>
    <t>21/08/2026-18/09/2026</t>
  </si>
  <si>
    <t>92802516663</t>
  </si>
  <si>
    <t>37288225560</t>
  </si>
  <si>
    <t>92802546892</t>
  </si>
  <si>
    <t>45704551170</t>
  </si>
  <si>
    <t>0277800001046</t>
  </si>
  <si>
    <t>22030013548</t>
  </si>
  <si>
    <t>92802602679</t>
  </si>
  <si>
    <t>37273659351</t>
  </si>
  <si>
    <t>0277800001293</t>
  </si>
  <si>
    <t>92800479179</t>
  </si>
  <si>
    <t>25700892273</t>
  </si>
  <si>
    <t>0277800051595</t>
  </si>
  <si>
    <t>25700446963</t>
  </si>
  <si>
    <t>25700529149</t>
  </si>
  <si>
    <t>E-Mobility(C1)</t>
  </si>
  <si>
    <t>37288306808</t>
  </si>
  <si>
    <t>92802494119</t>
  </si>
  <si>
    <t>23/07/2026-31/08/2026</t>
  </si>
  <si>
    <t>0277800046694</t>
  </si>
  <si>
    <t>25/08/2026-21/09/2026</t>
  </si>
  <si>
    <t>08/07/2026-31/08/2026</t>
  </si>
  <si>
    <t>37288225594</t>
  </si>
  <si>
    <t>Small Commercial (SC2)</t>
  </si>
  <si>
    <t>Domestic Ordinary (DC2)</t>
  </si>
  <si>
    <t>37288225578</t>
  </si>
  <si>
    <t>92802639622</t>
  </si>
  <si>
    <t>0277800051579</t>
  </si>
  <si>
    <t>25700852459</t>
  </si>
  <si>
    <t>37273671422</t>
  </si>
  <si>
    <t>92800586247</t>
  </si>
  <si>
    <t>23/07/2026-22/08/2026</t>
  </si>
  <si>
    <t>0277800048831</t>
  </si>
  <si>
    <t>37288299227</t>
  </si>
  <si>
    <t>22030013514</t>
  </si>
  <si>
    <t>92802550050</t>
  </si>
  <si>
    <t>37288225545</t>
  </si>
  <si>
    <t>0277800002721</t>
  </si>
  <si>
    <t>0277800012449</t>
  </si>
  <si>
    <t>0277800011243</t>
  </si>
  <si>
    <t>25700642066</t>
  </si>
  <si>
    <t>92802637444</t>
  </si>
  <si>
    <t>37288306790</t>
  </si>
  <si>
    <t>0277800027041</t>
  </si>
  <si>
    <t>92802512480</t>
  </si>
  <si>
    <t>37288219563</t>
  </si>
  <si>
    <t>92800474576</t>
  </si>
  <si>
    <t>92802551280</t>
  </si>
  <si>
    <t>92802568227</t>
  </si>
  <si>
    <t>92802618659</t>
  </si>
  <si>
    <t>0277800034823</t>
  </si>
  <si>
    <t>25700717157</t>
  </si>
  <si>
    <t>25700663211</t>
  </si>
  <si>
    <t>92800540020</t>
  </si>
  <si>
    <t>57300054723</t>
  </si>
  <si>
    <t>22/08/2026-21/09/2026</t>
  </si>
  <si>
    <t>277800041125</t>
  </si>
  <si>
    <t>02/07/2026-22/08/2026</t>
  </si>
  <si>
    <t>92802598810</t>
  </si>
  <si>
    <t>0175116259037</t>
  </si>
  <si>
    <t>37273667578</t>
  </si>
  <si>
    <t>25700646612</t>
  </si>
  <si>
    <t>22030011823</t>
  </si>
  <si>
    <t>220300123190</t>
  </si>
  <si>
    <t>277800046728</t>
  </si>
  <si>
    <t>0277800027058</t>
  </si>
  <si>
    <t>0277800012472</t>
  </si>
  <si>
    <t>37288296843</t>
  </si>
  <si>
    <t>0277800012464</t>
  </si>
  <si>
    <t>25700642082</t>
  </si>
  <si>
    <t>25700503516</t>
  </si>
  <si>
    <t>22030013530</t>
  </si>
  <si>
    <t>92800568708</t>
  </si>
  <si>
    <t>92802523230</t>
  </si>
  <si>
    <t>37288296264</t>
  </si>
  <si>
    <t>92802531340</t>
  </si>
  <si>
    <t>37288296223</t>
  </si>
  <si>
    <t>92802512464</t>
  </si>
  <si>
    <t>37288261961</t>
  </si>
  <si>
    <t>92802514064</t>
  </si>
  <si>
    <t>37288312376</t>
  </si>
  <si>
    <t>25700706481</t>
  </si>
  <si>
    <t>25700494047</t>
  </si>
  <si>
    <t>25700707778</t>
  </si>
  <si>
    <t>92802512258</t>
  </si>
  <si>
    <t>01/06/2026-03/06/2026</t>
  </si>
  <si>
    <t>92800490788</t>
  </si>
  <si>
    <t>92802523206</t>
  </si>
  <si>
    <t>25700514042</t>
  </si>
  <si>
    <t>92800475888</t>
  </si>
  <si>
    <t>25700937730</t>
  </si>
  <si>
    <t>25700516799</t>
  </si>
  <si>
    <t>92802514056</t>
  </si>
  <si>
    <t>25700844217</t>
  </si>
  <si>
    <t>15/09/2026-21/09/2026</t>
  </si>
  <si>
    <t>92802494127</t>
  </si>
  <si>
    <t>92802508876</t>
  </si>
  <si>
    <t>92800459056</t>
  </si>
  <si>
    <t>0277101392607</t>
  </si>
  <si>
    <t>92802516705</t>
  </si>
  <si>
    <t>25700910018</t>
  </si>
  <si>
    <t>04/09/2026-15/09/2026</t>
  </si>
  <si>
    <t>25700579078</t>
  </si>
  <si>
    <t>25700903112</t>
  </si>
  <si>
    <t>25700570663</t>
  </si>
  <si>
    <t>92802628211</t>
  </si>
  <si>
    <t>92802637402</t>
  </si>
  <si>
    <t>25700813717</t>
  </si>
  <si>
    <t>0277800022414</t>
  </si>
  <si>
    <t>92802523321</t>
  </si>
  <si>
    <t>92802551330</t>
  </si>
  <si>
    <t>92802551314</t>
  </si>
  <si>
    <t>25700456707</t>
  </si>
  <si>
    <t>25700596486</t>
  </si>
  <si>
    <t>0277800040093</t>
  </si>
  <si>
    <t>0277800070751</t>
  </si>
  <si>
    <t>92800586254</t>
  </si>
  <si>
    <t>Batch</t>
  </si>
  <si>
    <t>Batch 3</t>
  </si>
  <si>
    <t>01/09/2026-28/09/2026</t>
  </si>
  <si>
    <t>14/10/2026</t>
  </si>
  <si>
    <t>Batch 2</t>
  </si>
  <si>
    <t>07/10/2027</t>
  </si>
  <si>
    <t>07/10/2028</t>
  </si>
  <si>
    <t>92802485117</t>
  </si>
  <si>
    <t>25700964197</t>
  </si>
  <si>
    <t>020653722</t>
  </si>
  <si>
    <t>28/08/2026-23/09/2026</t>
  </si>
  <si>
    <t>92802485257</t>
  </si>
  <si>
    <t>010879202</t>
  </si>
  <si>
    <t>11/08/2026-09/09/2026</t>
  </si>
  <si>
    <t>24/09/2026</t>
  </si>
  <si>
    <t>92802646866</t>
  </si>
  <si>
    <t>27500597930</t>
  </si>
  <si>
    <t>92800459643</t>
  </si>
  <si>
    <t>19/08/2026-21/09/2026</t>
  </si>
  <si>
    <t>050010217</t>
  </si>
  <si>
    <t>01/09/2026-23/09/2026</t>
  </si>
  <si>
    <t>13/10/2026</t>
  </si>
  <si>
    <t>0277800035473</t>
  </si>
  <si>
    <t>020084987</t>
  </si>
  <si>
    <t>04/08/2026-01/09/2026</t>
  </si>
  <si>
    <t>21/09/2026</t>
  </si>
  <si>
    <t>25701225348</t>
  </si>
  <si>
    <t>25700959213</t>
  </si>
  <si>
    <t>25700969212</t>
  </si>
  <si>
    <t>25700452342</t>
  </si>
  <si>
    <t>92802523537</t>
  </si>
  <si>
    <t>25700917534</t>
  </si>
  <si>
    <t>92802547387</t>
  </si>
  <si>
    <t>25700658047</t>
  </si>
  <si>
    <t>22030000222</t>
  </si>
  <si>
    <t>25700983841</t>
  </si>
  <si>
    <t>25700981142</t>
  </si>
  <si>
    <t>25700658021</t>
  </si>
  <si>
    <t>92802484656</t>
  </si>
  <si>
    <t>010888565</t>
  </si>
  <si>
    <t>13/08/2026-14/09/2026</t>
  </si>
  <si>
    <t>29/09/2026</t>
  </si>
  <si>
    <t>25700737965</t>
  </si>
  <si>
    <t>37288220603</t>
  </si>
  <si>
    <t>25700613943</t>
  </si>
  <si>
    <t>23/07/2026-25/08/2026</t>
  </si>
  <si>
    <t>25700959247</t>
  </si>
  <si>
    <t>25700917542</t>
  </si>
  <si>
    <t>25700917559</t>
  </si>
  <si>
    <t>25700969220</t>
  </si>
  <si>
    <t>92802514841</t>
  </si>
  <si>
    <t>25700857086</t>
  </si>
  <si>
    <t>25700728394</t>
  </si>
  <si>
    <t>25700917708</t>
  </si>
  <si>
    <t>25700897140</t>
  </si>
  <si>
    <t>25700841239</t>
  </si>
  <si>
    <t>37288253711</t>
  </si>
  <si>
    <t>25700833806</t>
  </si>
  <si>
    <t>Bonje Petrocity</t>
  </si>
  <si>
    <t>02/08/2026-01/09/2026</t>
  </si>
  <si>
    <t>Check Meter</t>
  </si>
  <si>
    <t>Nyali Links Rd</t>
  </si>
  <si>
    <t>Kengeleni Petrocity</t>
  </si>
  <si>
    <t>16/9/2026</t>
  </si>
  <si>
    <t>25700579789</t>
  </si>
  <si>
    <t>25700925917</t>
  </si>
  <si>
    <t>25700982595</t>
  </si>
  <si>
    <t>25700969535</t>
  </si>
  <si>
    <t>25700622852</t>
  </si>
  <si>
    <t>25700943076</t>
  </si>
  <si>
    <t>25700596981</t>
  </si>
  <si>
    <t>25700919647</t>
  </si>
  <si>
    <t>25700622860</t>
  </si>
  <si>
    <t>060594453</t>
  </si>
  <si>
    <t>19/08/2026-17/09/2026</t>
  </si>
  <si>
    <t>25700465591</t>
  </si>
  <si>
    <t>25700459222</t>
  </si>
  <si>
    <t>25700465575</t>
  </si>
  <si>
    <t>25700925925</t>
  </si>
  <si>
    <t>25700922203</t>
  </si>
  <si>
    <t>92800495100</t>
  </si>
  <si>
    <t>28/08/2026-21/09/2026</t>
  </si>
  <si>
    <t>92802637352</t>
  </si>
  <si>
    <t>26/08/2026-22/09/2026</t>
  </si>
  <si>
    <t>7/10/2021</t>
  </si>
  <si>
    <t>25700937615</t>
  </si>
  <si>
    <t>25700922195</t>
  </si>
  <si>
    <t>92800446871</t>
  </si>
  <si>
    <t>25700569467</t>
  </si>
  <si>
    <t>92800457258</t>
  </si>
  <si>
    <t>061023670</t>
  </si>
  <si>
    <t>04/08/2026-02/09/2026</t>
  </si>
  <si>
    <t>25700922179</t>
  </si>
  <si>
    <t>92800468701</t>
  </si>
  <si>
    <t>020470100</t>
  </si>
  <si>
    <t>06/08/2026-04/09/2026</t>
  </si>
  <si>
    <t>92800457282</t>
  </si>
  <si>
    <t>060594715</t>
  </si>
  <si>
    <t>18/08/2026-14/09/2026</t>
  </si>
  <si>
    <t>25700597005</t>
  </si>
  <si>
    <t>25700975797</t>
  </si>
  <si>
    <t>92802602224</t>
  </si>
  <si>
    <t>37288226253</t>
  </si>
  <si>
    <t>92800478775</t>
  </si>
  <si>
    <t>92800457266</t>
  </si>
  <si>
    <t>37288280201</t>
  </si>
  <si>
    <t>25700862797</t>
  </si>
  <si>
    <t>25700883371</t>
  </si>
  <si>
    <t>25700658724</t>
  </si>
  <si>
    <t>25700576389</t>
  </si>
  <si>
    <t>92802551322</t>
  </si>
  <si>
    <t>12/10/2026</t>
  </si>
  <si>
    <t>92800495159</t>
  </si>
  <si>
    <t>92800468727</t>
  </si>
  <si>
    <t>25700465609</t>
  </si>
  <si>
    <t>22/06/2026-22/08/2026</t>
  </si>
  <si>
    <t>27/08/2026-21/09/2026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</si>
</sst>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Display"/>
      <family val="2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196B24"/>
      </top>
      <bottom/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left"/>
    </xf>
    <xf numFmtId="164" fontId="0" fillId="0" borderId="0" xfId="1" applyFont="1"/>
    <xf numFmtId="10" fontId="0" fillId="0" borderId="0" xfId="2" applyNumberFormat="1" applyFont="1"/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64" fontId="0" fillId="0" borderId="1" xfId="1" applyFont="1" applyBorder="1"/>
    <xf numFmtId="164" fontId="0" fillId="0" borderId="1" xfId="0" applyNumberFormat="1" applyBorder="1"/>
    <xf numFmtId="164" fontId="0" fillId="0" borderId="1" xfId="1" applyFont="1" applyFill="1" applyBorder="1"/>
    <xf numFmtId="49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  <xf numFmtId="164" fontId="0" fillId="0" borderId="2" xfId="1" applyFont="1" applyBorder="1"/>
    <xf numFmtId="164" fontId="0" fillId="0" borderId="2" xfId="0" applyNumberFormat="1" applyBorder="1"/>
    <xf numFmtId="0" fontId="4" fillId="0" borderId="3" xfId="0" applyFont="1" applyBorder="1"/>
    <xf numFmtId="49" fontId="4" fillId="0" borderId="4" xfId="0" applyNumberFormat="1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4" xfId="0" applyFont="1" applyBorder="1"/>
    <xf numFmtId="164" fontId="4" fillId="0" borderId="4" xfId="1" applyFont="1" applyBorder="1"/>
    <xf numFmtId="10" fontId="4" fillId="0" borderId="5" xfId="2" applyNumberFormat="1" applyFont="1" applyBorder="1"/>
    <xf numFmtId="0" fontId="1" fillId="0" borderId="6" xfId="0" applyFont="1" applyBorder="1"/>
    <xf numFmtId="10" fontId="0" fillId="0" borderId="7" xfId="2" applyNumberFormat="1" applyFont="1" applyBorder="1"/>
    <xf numFmtId="0" fontId="0" fillId="0" borderId="8" xfId="0" applyBorder="1"/>
    <xf numFmtId="10" fontId="0" fillId="0" borderId="9" xfId="2" applyNumberFormat="1" applyFont="1" applyBorder="1"/>
    <xf numFmtId="0" fontId="1" fillId="0" borderId="8" xfId="0" applyFont="1" applyBorder="1"/>
    <xf numFmtId="0" fontId="2" fillId="0" borderId="8" xfId="0" applyFont="1" applyBorder="1"/>
    <xf numFmtId="0" fontId="1" fillId="0" borderId="10" xfId="0" applyFont="1" applyBorder="1"/>
    <xf numFmtId="49" fontId="0" fillId="0" borderId="11" xfId="0" applyNumberForma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1" xfId="0" applyBorder="1"/>
    <xf numFmtId="164" fontId="0" fillId="0" borderId="11" xfId="1" applyFont="1" applyBorder="1"/>
    <xf numFmtId="164" fontId="0" fillId="0" borderId="11" xfId="0" applyNumberFormat="1" applyBorder="1"/>
    <xf numFmtId="10" fontId="0" fillId="0" borderId="12" xfId="2" applyNumberFormat="1" applyFont="1" applyBorder="1"/>
    <xf numFmtId="0" fontId="1" fillId="0" borderId="1" xfId="0" applyFont="1" applyBorder="1"/>
    <xf numFmtId="4" fontId="1" fillId="0" borderId="1" xfId="0" applyNumberFormat="1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3" xfId="0" applyFont="1" applyBorder="1"/>
    <xf numFmtId="0" fontId="1" fillId="0" borderId="14" xfId="0" applyFont="1" applyBorder="1"/>
    <xf numFmtId="4" fontId="1" fillId="0" borderId="14" xfId="0" applyNumberFormat="1" applyFont="1" applyBorder="1"/>
    <xf numFmtId="14" fontId="0" fillId="0" borderId="15" xfId="0" applyNumberFormat="1" applyBorder="1"/>
    <xf numFmtId="14" fontId="0" fillId="0" borderId="9" xfId="0" applyNumberFormat="1" applyBorder="1"/>
    <xf numFmtId="0" fontId="1" fillId="0" borderId="11" xfId="0" applyFont="1" applyBorder="1" applyAlignment="1">
      <alignment horizontal="left"/>
    </xf>
    <xf numFmtId="4" fontId="1" fillId="0" borderId="11" xfId="0" applyNumberFormat="1" applyFont="1" applyBorder="1"/>
    <xf numFmtId="14" fontId="0" fillId="0" borderId="12" xfId="0" applyNumberFormat="1" applyBorder="1"/>
    <xf numFmtId="0" fontId="1" fillId="0" borderId="16" xfId="0" applyFont="1" applyBorder="1"/>
    <xf numFmtId="0" fontId="0" fillId="0" borderId="17" xfId="0" applyBorder="1" applyAlignment="1">
      <alignment horizontal="left"/>
    </xf>
    <xf numFmtId="164" fontId="0" fillId="0" borderId="17" xfId="1" applyFont="1" applyBorder="1"/>
    <xf numFmtId="0" fontId="0" fillId="0" borderId="17" xfId="0" applyBorder="1"/>
    <xf numFmtId="0" fontId="0" fillId="0" borderId="14" xfId="0" applyBorder="1" applyAlignment="1">
      <alignment horizontal="left"/>
    </xf>
    <xf numFmtId="164" fontId="0" fillId="0" borderId="14" xfId="1" applyFont="1" applyBorder="1"/>
    <xf numFmtId="0" fontId="0" fillId="0" borderId="15" xfId="0" applyBorder="1"/>
    <xf numFmtId="0" fontId="0" fillId="0" borderId="9" xfId="0" applyBorder="1"/>
    <xf numFmtId="0" fontId="0" fillId="0" borderId="12" xfId="0" applyBorder="1"/>
    <xf numFmtId="0" fontId="5" fillId="0" borderId="0" xfId="0" applyFont="1"/>
    <xf numFmtId="0" fontId="4" fillId="0" borderId="18" xfId="0" applyFont="1" applyBorder="1"/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164" fontId="4" fillId="0" borderId="0" xfId="1" applyFont="1"/>
    <xf numFmtId="10" fontId="4" fillId="0" borderId="0" xfId="2" applyNumberFormat="1" applyFont="1"/>
    <xf numFmtId="0" fontId="1" fillId="0" borderId="0" xfId="0" applyFont="1"/>
    <xf numFmtId="49" fontId="0" fillId="0" borderId="0" xfId="0" applyNumberFormat="1" applyAlignment="1">
      <alignment horizontal="left"/>
    </xf>
    <xf numFmtId="164" fontId="0" fillId="0" borderId="0" xfId="0" applyNumberFormat="1"/>
    <xf numFmtId="164" fontId="0" fillId="0" borderId="0" xfId="1" applyFont="1" applyBorder="1"/>
    <xf numFmtId="0" fontId="0" fillId="0" borderId="0" xfId="0" applyAlignment="1">
      <alignment horizontal="right"/>
    </xf>
    <xf numFmtId="164" fontId="0" fillId="0" borderId="0" xfId="1" applyFont="1" applyAlignment="1"/>
    <xf numFmtId="49" fontId="0" fillId="0" borderId="0" xfId="0" applyNumberFormat="1"/>
    <xf numFmtId="14" fontId="0" fillId="0" borderId="0" xfId="0" applyNumberFormat="1" applyAlignment="1">
      <alignment horizontal="left"/>
    </xf>
    <xf numFmtId="14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quitanedmcc-my.sharepoint.com/personal/stephen_wekesa_spironet_com/Documents/O&amp;M/01-Operations/13-Finance/01-Power_Bills/09_Sept/Batch%201/consumption_period_SOC.xlsx" TargetMode="External"/><Relationship Id="rId1" Type="http://schemas.openxmlformats.org/officeDocument/2006/relationships/externalLinkPath" Target="consumption_period_SOC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joel_amenya_spironet_com/Documents/POWER%20BILLS%20-%20Augsut/Western%20KE%20Energy%20Billing%20Details.xlsx" TargetMode="External"/><Relationship Id="rId2" Type="http://schemas.openxmlformats.org/officeDocument/2006/relationships/externalLinkPath" Target="https://equitanedmcc-my.sharepoint.com/personal/joel_amenya_spironet_com/Documents/POWER%20BILLS%20-%20Augsut/Western%20KE%20Energy%20Billing%20Details.xlsx" TargetMode="External"/><Relationship Id="rId1" Type="http://schemas.openxmlformats.org/officeDocument/2006/relationships/externalLinkPath" Target="/personal/joel_amenya_spironet_com/Documents/POWER%20BILLS%20-%20Augsut/Western%20KE%20Energy%20Billing%20Detail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quitanedmcc-my.sharepoint.com/personal/stephen_wekesa_spironet_com/Documents/O&amp;M/01-Operations/13-Finance/01-Power_Bills/09_Sept/Batch%201/consumption_period_SOC.xlsx" TargetMode="External"/><Relationship Id="rId1" Type="http://schemas.openxmlformats.org/officeDocument/2006/relationships/externalLinkPath" Target="Batch%201/consumption_period_SO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ion Summary"/>
      <sheetName val="Net SOC Details"/>
    </sheetNames>
    <sheetDataSet>
      <sheetData sheetId="0" refreshError="1">
        <row r="1">
          <cell r="A1" t="str">
            <v>Station</v>
          </cell>
          <cell r="E1" t="str">
            <v>Total_Net_SOC</v>
          </cell>
        </row>
        <row r="2">
          <cell r="A2" t="str">
            <v>Ahero</v>
          </cell>
          <cell r="E2">
            <v>84746</v>
          </cell>
        </row>
        <row r="3">
          <cell r="A3" t="str">
            <v>Alendu</v>
          </cell>
          <cell r="E3">
            <v>55345</v>
          </cell>
        </row>
        <row r="4">
          <cell r="A4" t="str">
            <v>Anyuongi</v>
          </cell>
          <cell r="E4">
            <v>42399</v>
          </cell>
        </row>
        <row r="5">
          <cell r="A5" t="str">
            <v>Arwos</v>
          </cell>
          <cell r="E5">
            <v>23360</v>
          </cell>
        </row>
        <row r="6">
          <cell r="A6" t="str">
            <v>Athi River</v>
          </cell>
          <cell r="E6">
            <v>92904</v>
          </cell>
        </row>
        <row r="7">
          <cell r="A7" t="str">
            <v>Awasi</v>
          </cell>
          <cell r="E7">
            <v>92264</v>
          </cell>
        </row>
        <row r="8">
          <cell r="A8" t="str">
            <v>Baharini</v>
          </cell>
          <cell r="E8">
            <v>31018</v>
          </cell>
        </row>
        <row r="9">
          <cell r="A9" t="str">
            <v>Bakulei</v>
          </cell>
          <cell r="E9">
            <v>24294</v>
          </cell>
        </row>
        <row r="10">
          <cell r="A10" t="str">
            <v>Baricho</v>
          </cell>
          <cell r="E10">
            <v>30135</v>
          </cell>
        </row>
        <row r="11">
          <cell r="A11" t="str">
            <v>Bondeni</v>
          </cell>
          <cell r="E11">
            <v>47571</v>
          </cell>
        </row>
        <row r="12">
          <cell r="A12" t="str">
            <v>Bondo</v>
          </cell>
          <cell r="E12">
            <v>130155</v>
          </cell>
        </row>
        <row r="13">
          <cell r="A13" t="str">
            <v>Boro</v>
          </cell>
          <cell r="E13">
            <v>93615</v>
          </cell>
        </row>
        <row r="14">
          <cell r="A14" t="str">
            <v>Bronjo</v>
          </cell>
          <cell r="E14">
            <v>17074</v>
          </cell>
        </row>
        <row r="15">
          <cell r="A15" t="str">
            <v>Chembulet</v>
          </cell>
          <cell r="E15">
            <v>4274</v>
          </cell>
        </row>
        <row r="16">
          <cell r="A16" t="str">
            <v>Chepkorio</v>
          </cell>
          <cell r="E16">
            <v>12349</v>
          </cell>
        </row>
        <row r="17">
          <cell r="A17" t="str">
            <v>Chianda</v>
          </cell>
          <cell r="E17">
            <v>55145</v>
          </cell>
        </row>
        <row r="18">
          <cell r="A18" t="str">
            <v>Chiga</v>
          </cell>
          <cell r="E18">
            <v>61923</v>
          </cell>
        </row>
        <row r="19">
          <cell r="A19" t="str">
            <v>Chuka</v>
          </cell>
          <cell r="E19">
            <v>159562</v>
          </cell>
        </row>
        <row r="20">
          <cell r="A20" t="str">
            <v>Daraja Mbili</v>
          </cell>
          <cell r="E20">
            <v>110784</v>
          </cell>
        </row>
        <row r="21">
          <cell r="A21" t="str">
            <v>Devki</v>
          </cell>
          <cell r="E21">
            <v>218699</v>
          </cell>
        </row>
        <row r="22">
          <cell r="A22" t="str">
            <v>Elgons</v>
          </cell>
          <cell r="E22">
            <v>66285</v>
          </cell>
        </row>
        <row r="23">
          <cell r="A23" t="str">
            <v>Embakasi</v>
          </cell>
          <cell r="E23">
            <v>547439</v>
          </cell>
        </row>
        <row r="24">
          <cell r="A24" t="str">
            <v>FEDHA</v>
          </cell>
          <cell r="E24">
            <v>634429</v>
          </cell>
        </row>
        <row r="25">
          <cell r="A25" t="str">
            <v>Flax</v>
          </cell>
          <cell r="E25">
            <v>6865</v>
          </cell>
        </row>
        <row r="26">
          <cell r="A26" t="str">
            <v>GITHURAI - 45</v>
          </cell>
          <cell r="E26">
            <v>496104</v>
          </cell>
        </row>
        <row r="27">
          <cell r="A27" t="str">
            <v>GRANDPRI CBD ELDORET</v>
          </cell>
          <cell r="E27">
            <v>278203</v>
          </cell>
        </row>
        <row r="28">
          <cell r="A28" t="str">
            <v>Gachie</v>
          </cell>
          <cell r="E28">
            <v>263839</v>
          </cell>
        </row>
        <row r="29">
          <cell r="A29" t="str">
            <v>Gatua</v>
          </cell>
          <cell r="E29">
            <v>14180</v>
          </cell>
        </row>
        <row r="30">
          <cell r="A30" t="str">
            <v>Getare</v>
          </cell>
          <cell r="E30">
            <v>4667</v>
          </cell>
        </row>
        <row r="31">
          <cell r="A31" t="str">
            <v>Getuya</v>
          </cell>
          <cell r="E31">
            <v>6968</v>
          </cell>
        </row>
        <row r="32">
          <cell r="A32" t="str">
            <v>Gilgil Town</v>
          </cell>
          <cell r="E32">
            <v>42674</v>
          </cell>
        </row>
        <row r="33">
          <cell r="A33" t="str">
            <v>Githurai 45 2</v>
          </cell>
          <cell r="E33">
            <v>130367</v>
          </cell>
        </row>
        <row r="34">
          <cell r="A34" t="str">
            <v>Got Rabuor</v>
          </cell>
          <cell r="E34">
            <v>101832</v>
          </cell>
        </row>
        <row r="35">
          <cell r="A35" t="str">
            <v>Highpoint</v>
          </cell>
          <cell r="E35">
            <v>157937</v>
          </cell>
        </row>
        <row r="36">
          <cell r="A36" t="str">
            <v>Ikalaasa</v>
          </cell>
          <cell r="E36">
            <v>18342</v>
          </cell>
        </row>
        <row r="37">
          <cell r="A37" t="str">
            <v>Imbo</v>
          </cell>
          <cell r="E37">
            <v>85343</v>
          </cell>
        </row>
        <row r="38">
          <cell r="A38" t="str">
            <v>Iten Town</v>
          </cell>
          <cell r="E38">
            <v>32180</v>
          </cell>
        </row>
        <row r="39">
          <cell r="A39" t="str">
            <v>Jogoo Rd (Oryx) 1</v>
          </cell>
          <cell r="E39">
            <v>642081</v>
          </cell>
        </row>
        <row r="40">
          <cell r="A40" t="str">
            <v>Joska</v>
          </cell>
          <cell r="E40">
            <v>269299</v>
          </cell>
        </row>
        <row r="41">
          <cell r="A41" t="str">
            <v>Josmat</v>
          </cell>
          <cell r="E41">
            <v>41097</v>
          </cell>
        </row>
        <row r="42">
          <cell r="A42" t="str">
            <v>KAPSABET-2</v>
          </cell>
          <cell r="E42">
            <v>123390</v>
          </cell>
        </row>
        <row r="43">
          <cell r="A43" t="str">
            <v>KEGATI - KISII</v>
          </cell>
          <cell r="E43">
            <v>11308</v>
          </cell>
        </row>
        <row r="44">
          <cell r="A44" t="str">
            <v>KK Meru</v>
          </cell>
          <cell r="E44">
            <v>164246</v>
          </cell>
        </row>
        <row r="45">
          <cell r="A45" t="str">
            <v>Kaani</v>
          </cell>
          <cell r="E45">
            <v>25740</v>
          </cell>
        </row>
        <row r="46">
          <cell r="A46" t="str">
            <v>Kabaa</v>
          </cell>
          <cell r="E46">
            <v>146716</v>
          </cell>
        </row>
        <row r="47">
          <cell r="A47" t="str">
            <v>Kabartonjo</v>
          </cell>
          <cell r="E47">
            <v>6570</v>
          </cell>
        </row>
        <row r="48">
          <cell r="A48" t="str">
            <v>Kadongo SS</v>
          </cell>
          <cell r="E48">
            <v>74021</v>
          </cell>
        </row>
        <row r="49">
          <cell r="A49" t="str">
            <v>Kagio</v>
          </cell>
          <cell r="E49">
            <v>222210</v>
          </cell>
        </row>
        <row r="50">
          <cell r="A50" t="str">
            <v>Kainange</v>
          </cell>
          <cell r="E50">
            <v>19239</v>
          </cell>
        </row>
        <row r="51">
          <cell r="A51" t="str">
            <v>Kangeta</v>
          </cell>
          <cell r="E51">
            <v>218040</v>
          </cell>
        </row>
        <row r="52">
          <cell r="A52" t="str">
            <v>Kanyariri</v>
          </cell>
          <cell r="E52">
            <v>106132</v>
          </cell>
        </row>
        <row r="53">
          <cell r="A53" t="str">
            <v>Kapkatet</v>
          </cell>
          <cell r="E53">
            <v>62094</v>
          </cell>
        </row>
        <row r="54">
          <cell r="A54" t="str">
            <v>Kapseret</v>
          </cell>
          <cell r="E54">
            <v>25018</v>
          </cell>
        </row>
        <row r="55">
          <cell r="A55" t="str">
            <v>Kapsoo</v>
          </cell>
          <cell r="E55">
            <v>54731</v>
          </cell>
        </row>
        <row r="56">
          <cell r="A56" t="str">
            <v>Katheka kai</v>
          </cell>
          <cell r="E56">
            <v>54184</v>
          </cell>
        </row>
        <row r="57">
          <cell r="A57" t="str">
            <v>Katito</v>
          </cell>
          <cell r="E57">
            <v>21655</v>
          </cell>
        </row>
        <row r="58">
          <cell r="A58" t="str">
            <v>Kawangware Galana</v>
          </cell>
          <cell r="E58">
            <v>421225</v>
          </cell>
        </row>
        <row r="59">
          <cell r="A59" t="str">
            <v>Kawethei</v>
          </cell>
          <cell r="E59">
            <v>28383</v>
          </cell>
        </row>
        <row r="60">
          <cell r="A60" t="str">
            <v>Kayole</v>
          </cell>
          <cell r="E60">
            <v>746571</v>
          </cell>
        </row>
        <row r="61">
          <cell r="A61" t="str">
            <v>Kayole Nakuru</v>
          </cell>
          <cell r="E61">
            <v>19824</v>
          </cell>
        </row>
        <row r="62">
          <cell r="A62" t="str">
            <v>Kemeloi</v>
          </cell>
          <cell r="E62">
            <v>17532</v>
          </cell>
        </row>
        <row r="63">
          <cell r="A63" t="str">
            <v>Kemera</v>
          </cell>
          <cell r="E63">
            <v>30335</v>
          </cell>
        </row>
        <row r="64">
          <cell r="A64" t="str">
            <v>Kenol Machakos</v>
          </cell>
          <cell r="E64">
            <v>87805</v>
          </cell>
        </row>
        <row r="65">
          <cell r="A65" t="str">
            <v>Kiangwaci</v>
          </cell>
          <cell r="E65">
            <v>30155</v>
          </cell>
        </row>
        <row r="66">
          <cell r="A66" t="str">
            <v>Kianjai</v>
          </cell>
          <cell r="E66">
            <v>19960</v>
          </cell>
        </row>
        <row r="67">
          <cell r="A67" t="str">
            <v>Kiburu</v>
          </cell>
          <cell r="E67">
            <v>12309</v>
          </cell>
        </row>
        <row r="68">
          <cell r="A68" t="str">
            <v>Kiirua</v>
          </cell>
          <cell r="E68">
            <v>17720</v>
          </cell>
        </row>
        <row r="69">
          <cell r="A69" t="str">
            <v>Kijeuri</v>
          </cell>
          <cell r="E69">
            <v>14125</v>
          </cell>
        </row>
        <row r="70">
          <cell r="A70" t="str">
            <v>Kimbimbi</v>
          </cell>
          <cell r="E70">
            <v>141692</v>
          </cell>
        </row>
        <row r="71">
          <cell r="A71" t="str">
            <v>Kimbo</v>
          </cell>
          <cell r="E71">
            <v>364736</v>
          </cell>
        </row>
        <row r="72">
          <cell r="A72" t="str">
            <v>Kimumu (Iten Rd)</v>
          </cell>
          <cell r="E72">
            <v>122572</v>
          </cell>
        </row>
        <row r="73">
          <cell r="A73" t="str">
            <v>Kinyui</v>
          </cell>
          <cell r="E73">
            <v>14837</v>
          </cell>
        </row>
        <row r="74">
          <cell r="A74" t="str">
            <v>Kisumu (CBD)</v>
          </cell>
          <cell r="E74">
            <v>269559</v>
          </cell>
        </row>
        <row r="75">
          <cell r="A75" t="str">
            <v>Kitengela 2</v>
          </cell>
          <cell r="E75">
            <v>456730</v>
          </cell>
        </row>
        <row r="76">
          <cell r="A76" t="str">
            <v>Kitui Town Slota</v>
          </cell>
          <cell r="E76">
            <v>15265</v>
          </cell>
        </row>
        <row r="77">
          <cell r="A77" t="str">
            <v>Kivutini</v>
          </cell>
          <cell r="E77">
            <v>31312</v>
          </cell>
        </row>
        <row r="78">
          <cell r="A78" t="str">
            <v>Kona Nandi</v>
          </cell>
          <cell r="E78">
            <v>15597</v>
          </cell>
        </row>
        <row r="79">
          <cell r="A79" t="str">
            <v>Koyani</v>
          </cell>
          <cell r="E79">
            <v>13579</v>
          </cell>
        </row>
        <row r="80">
          <cell r="A80" t="str">
            <v>Kutus</v>
          </cell>
          <cell r="E80">
            <v>222208</v>
          </cell>
        </row>
        <row r="81">
          <cell r="A81" t="str">
            <v>Kyalavo</v>
          </cell>
          <cell r="E81">
            <v>5984</v>
          </cell>
        </row>
        <row r="82">
          <cell r="A82" t="str">
            <v>Kyawango</v>
          </cell>
          <cell r="E82">
            <v>46075</v>
          </cell>
        </row>
        <row r="83">
          <cell r="A83" t="str">
            <v>Kyua</v>
          </cell>
          <cell r="E83">
            <v>11374</v>
          </cell>
        </row>
        <row r="84">
          <cell r="A84" t="str">
            <v>Langas</v>
          </cell>
          <cell r="E84">
            <v>157931</v>
          </cell>
        </row>
        <row r="85">
          <cell r="A85" t="str">
            <v>Lemook</v>
          </cell>
          <cell r="E85">
            <v>57012</v>
          </cell>
        </row>
        <row r="86">
          <cell r="A86" t="str">
            <v>Lessos</v>
          </cell>
          <cell r="E86">
            <v>4631</v>
          </cell>
        </row>
        <row r="87">
          <cell r="A87" t="str">
            <v>Lincos</v>
          </cell>
          <cell r="E87">
            <v>437448</v>
          </cell>
        </row>
        <row r="88">
          <cell r="A88" t="str">
            <v>Lower Kabete</v>
          </cell>
          <cell r="E88">
            <v>132184</v>
          </cell>
        </row>
        <row r="89">
          <cell r="A89" t="str">
            <v>Magena</v>
          </cell>
          <cell r="E89">
            <v>5465</v>
          </cell>
        </row>
        <row r="90">
          <cell r="A90" t="str">
            <v>Maili Kumi</v>
          </cell>
          <cell r="E90">
            <v>12285</v>
          </cell>
        </row>
        <row r="91">
          <cell r="A91" t="str">
            <v>Mamboleo</v>
          </cell>
          <cell r="E91">
            <v>84071</v>
          </cell>
        </row>
        <row r="92">
          <cell r="A92" t="str">
            <v>Manga</v>
          </cell>
          <cell r="E92">
            <v>7246</v>
          </cell>
        </row>
        <row r="93">
          <cell r="A93" t="str">
            <v>Manyatta</v>
          </cell>
          <cell r="E93">
            <v>160409</v>
          </cell>
        </row>
        <row r="94">
          <cell r="A94" t="str">
            <v>Manyuanda</v>
          </cell>
          <cell r="E94">
            <v>43608</v>
          </cell>
        </row>
        <row r="95">
          <cell r="A95" t="str">
            <v>Marurui</v>
          </cell>
          <cell r="E95">
            <v>424072</v>
          </cell>
        </row>
        <row r="96">
          <cell r="A96" t="str">
            <v>Masii</v>
          </cell>
          <cell r="E96">
            <v>196463</v>
          </cell>
        </row>
        <row r="97">
          <cell r="A97" t="str">
            <v>Mavoko</v>
          </cell>
          <cell r="E97">
            <v>133741</v>
          </cell>
        </row>
        <row r="98">
          <cell r="A98" t="str">
            <v>Mawlem</v>
          </cell>
          <cell r="E98">
            <v>272942</v>
          </cell>
        </row>
        <row r="99">
          <cell r="A99" t="str">
            <v>Meena Collections</v>
          </cell>
          <cell r="E99">
            <v>61169</v>
          </cell>
        </row>
        <row r="100">
          <cell r="A100" t="str">
            <v>Membley</v>
          </cell>
          <cell r="E100">
            <v>352355</v>
          </cell>
        </row>
        <row r="101">
          <cell r="A101" t="str">
            <v>Meru Town</v>
          </cell>
          <cell r="E101">
            <v>374734</v>
          </cell>
        </row>
        <row r="102">
          <cell r="A102" t="str">
            <v>Mitaboni</v>
          </cell>
          <cell r="E102">
            <v>18367</v>
          </cell>
        </row>
        <row r="103">
          <cell r="A103" t="str">
            <v>Mlolongo</v>
          </cell>
          <cell r="E103">
            <v>680799</v>
          </cell>
        </row>
        <row r="104">
          <cell r="A104" t="str">
            <v>Mogonga</v>
          </cell>
          <cell r="E104">
            <v>15623</v>
          </cell>
        </row>
        <row r="105">
          <cell r="A105" t="str">
            <v>Mogotio</v>
          </cell>
          <cell r="E105">
            <v>3885</v>
          </cell>
        </row>
        <row r="106">
          <cell r="A106" t="str">
            <v>Molo</v>
          </cell>
          <cell r="E106">
            <v>44134</v>
          </cell>
        </row>
        <row r="107">
          <cell r="A107" t="str">
            <v>Mosoriot</v>
          </cell>
          <cell r="E107">
            <v>80950</v>
          </cell>
        </row>
        <row r="108">
          <cell r="A108" t="str">
            <v>Mugundoi</v>
          </cell>
          <cell r="E108">
            <v>33319</v>
          </cell>
        </row>
        <row r="109">
          <cell r="A109" t="str">
            <v>Mukukuni</v>
          </cell>
          <cell r="E109">
            <v>7003</v>
          </cell>
        </row>
        <row r="110">
          <cell r="A110" t="str">
            <v>Muraru</v>
          </cell>
          <cell r="E110">
            <v>157588</v>
          </cell>
        </row>
        <row r="111">
          <cell r="A111" t="str">
            <v>Muriri</v>
          </cell>
          <cell r="E111">
            <v>23851</v>
          </cell>
        </row>
        <row r="112">
          <cell r="A112" t="str">
            <v>Muthetheni</v>
          </cell>
          <cell r="E112">
            <v>38953</v>
          </cell>
        </row>
        <row r="113">
          <cell r="A113" t="str">
            <v>Mutumbu</v>
          </cell>
          <cell r="E113">
            <v>66192</v>
          </cell>
        </row>
        <row r="114">
          <cell r="A114" t="str">
            <v>Mwala</v>
          </cell>
          <cell r="E114">
            <v>143450</v>
          </cell>
        </row>
        <row r="115">
          <cell r="A115" t="str">
            <v>Mwanzo</v>
          </cell>
          <cell r="E115">
            <v>151070</v>
          </cell>
        </row>
        <row r="116">
          <cell r="A116" t="str">
            <v>Naca</v>
          </cell>
          <cell r="E116">
            <v>124488</v>
          </cell>
        </row>
        <row r="117">
          <cell r="A117" t="str">
            <v>Nambale</v>
          </cell>
          <cell r="E117">
            <v>90768</v>
          </cell>
        </row>
        <row r="118">
          <cell r="A118" t="str">
            <v>Nandi Hills</v>
          </cell>
          <cell r="E118">
            <v>47141</v>
          </cell>
        </row>
        <row r="119">
          <cell r="A119" t="str">
            <v>Ndenderu</v>
          </cell>
          <cell r="E119">
            <v>288558</v>
          </cell>
        </row>
        <row r="120">
          <cell r="A120" t="str">
            <v>Ndhiwa</v>
          </cell>
          <cell r="E120">
            <v>91121</v>
          </cell>
        </row>
        <row r="121">
          <cell r="A121" t="str">
            <v>Ndigwa</v>
          </cell>
          <cell r="E121">
            <v>10395</v>
          </cell>
        </row>
        <row r="122">
          <cell r="A122" t="str">
            <v>Ndiru</v>
          </cell>
          <cell r="E122">
            <v>44291</v>
          </cell>
        </row>
        <row r="123">
          <cell r="A123" t="str">
            <v>Ndori</v>
          </cell>
          <cell r="E123">
            <v>127214</v>
          </cell>
        </row>
        <row r="124">
          <cell r="A124" t="str">
            <v>Ndumberi</v>
          </cell>
          <cell r="E124">
            <v>96502</v>
          </cell>
        </row>
        <row r="125">
          <cell r="A125" t="str">
            <v>Ndurio</v>
          </cell>
          <cell r="E125">
            <v>58520</v>
          </cell>
        </row>
        <row r="126">
          <cell r="A126" t="str">
            <v>Ndwara</v>
          </cell>
          <cell r="E126">
            <v>36756</v>
          </cell>
        </row>
        <row r="127">
          <cell r="A127" t="str">
            <v>Ngecha</v>
          </cell>
          <cell r="E127">
            <v>10386</v>
          </cell>
        </row>
        <row r="128">
          <cell r="A128" t="str">
            <v>Ngong</v>
          </cell>
          <cell r="E128">
            <v>439287</v>
          </cell>
        </row>
        <row r="129">
          <cell r="A129" t="str">
            <v>Njoro</v>
          </cell>
          <cell r="E129">
            <v>36564</v>
          </cell>
        </row>
        <row r="130">
          <cell r="A130" t="str">
            <v>Nkubu</v>
          </cell>
          <cell r="E130">
            <v>157164</v>
          </cell>
        </row>
        <row r="131">
          <cell r="A131" t="str">
            <v>Nyadorera</v>
          </cell>
          <cell r="E131">
            <v>40005</v>
          </cell>
        </row>
        <row r="132">
          <cell r="A132" t="str">
            <v>Nyamasaria -Kisumu</v>
          </cell>
          <cell r="E132">
            <v>146456</v>
          </cell>
        </row>
        <row r="133">
          <cell r="A133" t="str">
            <v>Nyamira CBD</v>
          </cell>
          <cell r="E133">
            <v>133</v>
          </cell>
        </row>
        <row r="134">
          <cell r="A134" t="str">
            <v>Nyamonye</v>
          </cell>
          <cell r="E134">
            <v>53208</v>
          </cell>
        </row>
        <row r="135">
          <cell r="A135" t="str">
            <v>Nyandiwa</v>
          </cell>
          <cell r="E135">
            <v>16828</v>
          </cell>
        </row>
        <row r="136">
          <cell r="A136" t="str">
            <v>Nyangweso</v>
          </cell>
          <cell r="E136">
            <v>21427</v>
          </cell>
        </row>
        <row r="137">
          <cell r="A137" t="str">
            <v>Nyatieko</v>
          </cell>
          <cell r="E137">
            <v>9839</v>
          </cell>
        </row>
        <row r="138">
          <cell r="A138" t="str">
            <v>Obambo</v>
          </cell>
          <cell r="E138">
            <v>46354</v>
          </cell>
        </row>
        <row r="139">
          <cell r="A139" t="str">
            <v>Olare</v>
          </cell>
          <cell r="E139">
            <v>27127</v>
          </cell>
        </row>
        <row r="140">
          <cell r="A140" t="str">
            <v>Omboga</v>
          </cell>
          <cell r="E140">
            <v>26588</v>
          </cell>
        </row>
        <row r="141">
          <cell r="A141" t="str">
            <v>Ombwede</v>
          </cell>
          <cell r="E141">
            <v>9123</v>
          </cell>
        </row>
        <row r="142">
          <cell r="A142" t="str">
            <v>Otonglo (Costalina)</v>
          </cell>
          <cell r="E142">
            <v>46053</v>
          </cell>
        </row>
        <row r="143">
          <cell r="A143" t="str">
            <v>Oyugis</v>
          </cell>
          <cell r="E143">
            <v>43064</v>
          </cell>
        </row>
        <row r="144">
          <cell r="A144" t="str">
            <v>Rangenyo</v>
          </cell>
          <cell r="E144">
            <v>15825</v>
          </cell>
        </row>
        <row r="145">
          <cell r="A145" t="str">
            <v>Regen</v>
          </cell>
          <cell r="E145">
            <v>171344</v>
          </cell>
        </row>
        <row r="146">
          <cell r="A146" t="str">
            <v>Riat 1</v>
          </cell>
          <cell r="E146">
            <v>51240</v>
          </cell>
        </row>
        <row r="147">
          <cell r="A147" t="str">
            <v>Riat 2</v>
          </cell>
          <cell r="E147">
            <v>58727</v>
          </cell>
        </row>
        <row r="148">
          <cell r="A148" t="str">
            <v>Ringa</v>
          </cell>
          <cell r="E148">
            <v>66612</v>
          </cell>
        </row>
        <row r="149">
          <cell r="A149" t="str">
            <v>Rodi Kopany</v>
          </cell>
          <cell r="E149">
            <v>143351</v>
          </cell>
        </row>
        <row r="150">
          <cell r="A150" t="str">
            <v>Runyenjes</v>
          </cell>
          <cell r="E150">
            <v>107246</v>
          </cell>
        </row>
        <row r="151">
          <cell r="A151" t="str">
            <v>Sega</v>
          </cell>
          <cell r="E151">
            <v>104700</v>
          </cell>
        </row>
        <row r="152">
          <cell r="A152" t="str">
            <v>Shabaab</v>
          </cell>
          <cell r="E152">
            <v>198481</v>
          </cell>
        </row>
        <row r="153">
          <cell r="A153" t="str">
            <v>Sikri</v>
          </cell>
          <cell r="E153">
            <v>36637</v>
          </cell>
        </row>
        <row r="154">
          <cell r="A154" t="str">
            <v>Sogomo</v>
          </cell>
          <cell r="E154">
            <v>7288</v>
          </cell>
        </row>
        <row r="155">
          <cell r="A155" t="str">
            <v>Soy</v>
          </cell>
          <cell r="E155">
            <v>44271</v>
          </cell>
        </row>
        <row r="156">
          <cell r="A156" t="str">
            <v>Strawbarg</v>
          </cell>
          <cell r="E156">
            <v>6323</v>
          </cell>
        </row>
        <row r="157">
          <cell r="A157" t="str">
            <v>Tala</v>
          </cell>
          <cell r="E157">
            <v>215006</v>
          </cell>
        </row>
        <row r="158">
          <cell r="A158" t="str">
            <v>Theta</v>
          </cell>
          <cell r="E158">
            <v>104397</v>
          </cell>
        </row>
        <row r="159">
          <cell r="A159" t="str">
            <v>Toll Station Thika Rd</v>
          </cell>
          <cell r="E159">
            <v>122227</v>
          </cell>
        </row>
        <row r="160">
          <cell r="A160" t="str">
            <v>UMOJA (Phase 1)</v>
          </cell>
          <cell r="E160">
            <v>630257</v>
          </cell>
        </row>
        <row r="161">
          <cell r="A161" t="str">
            <v>UTHIRU</v>
          </cell>
          <cell r="E161">
            <v>582061</v>
          </cell>
        </row>
        <row r="162">
          <cell r="A162" t="str">
            <v>Ugunja</v>
          </cell>
          <cell r="E162">
            <v>146626</v>
          </cell>
        </row>
        <row r="163">
          <cell r="A163" t="str">
            <v>Ukwala</v>
          </cell>
          <cell r="E163">
            <v>64293</v>
          </cell>
        </row>
        <row r="164">
          <cell r="A164" t="str">
            <v>Usenge</v>
          </cell>
          <cell r="E164">
            <v>20583</v>
          </cell>
        </row>
        <row r="165">
          <cell r="A165" t="str">
            <v>Vyulya</v>
          </cell>
          <cell r="E165">
            <v>46788</v>
          </cell>
        </row>
        <row r="166">
          <cell r="A166" t="str">
            <v>Wamunyu</v>
          </cell>
          <cell r="E166">
            <v>135804</v>
          </cell>
        </row>
        <row r="167">
          <cell r="A167" t="str">
            <v>Zombe</v>
          </cell>
          <cell r="E167">
            <v>12938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epaid"/>
      <sheetName val="Postpaid"/>
      <sheetName val="Payment status"/>
      <sheetName val="Payment Status 2"/>
      <sheetName val="Stations"/>
      <sheetName val="Region Database"/>
      <sheetName val="Work"/>
      <sheetName val="Sheet1"/>
      <sheetName val="Missing from Payment"/>
    </sheetNames>
    <sheetDataSet>
      <sheetData sheetId="0"/>
      <sheetData sheetId="1"/>
      <sheetData sheetId="2"/>
      <sheetData sheetId="3">
        <row r="1">
          <cell r="A1" t="str">
            <v>Station</v>
          </cell>
          <cell r="C1" t="str">
            <v>Account Number</v>
          </cell>
        </row>
        <row r="2">
          <cell r="A2" t="str">
            <v>Ahero</v>
          </cell>
          <cell r="C2">
            <v>171355817</v>
          </cell>
        </row>
        <row r="3">
          <cell r="A3" t="str">
            <v>Alendu</v>
          </cell>
          <cell r="C3">
            <v>197260395</v>
          </cell>
        </row>
        <row r="4">
          <cell r="A4" t="str">
            <v>Anyuongi</v>
          </cell>
          <cell r="C4">
            <v>177176670</v>
          </cell>
        </row>
        <row r="5">
          <cell r="A5" t="str">
            <v>Awasi</v>
          </cell>
          <cell r="C5">
            <v>177424795</v>
          </cell>
        </row>
        <row r="6">
          <cell r="A6" t="str">
            <v>Bondo</v>
          </cell>
          <cell r="C6">
            <v>173935552</v>
          </cell>
        </row>
        <row r="7">
          <cell r="A7" t="str">
            <v>Boro</v>
          </cell>
          <cell r="C7" t="str">
            <v>193236247</v>
          </cell>
        </row>
        <row r="8">
          <cell r="A8" t="str">
            <v>Chianda</v>
          </cell>
          <cell r="C8">
            <v>177180906</v>
          </cell>
        </row>
        <row r="9">
          <cell r="A9" t="str">
            <v>Chiga</v>
          </cell>
          <cell r="C9">
            <v>178110639</v>
          </cell>
        </row>
        <row r="10">
          <cell r="A10" t="str">
            <v>Daraja Mbili</v>
          </cell>
          <cell r="C10">
            <v>175331642</v>
          </cell>
        </row>
        <row r="11">
          <cell r="A11" t="str">
            <v>Elgons</v>
          </cell>
          <cell r="C11">
            <v>179805304</v>
          </cell>
        </row>
        <row r="12">
          <cell r="A12" t="str">
            <v>Getare</v>
          </cell>
          <cell r="C12">
            <v>143714950</v>
          </cell>
        </row>
        <row r="13">
          <cell r="A13" t="str">
            <v>Got Rabuor</v>
          </cell>
          <cell r="C13">
            <v>175557707</v>
          </cell>
        </row>
        <row r="14">
          <cell r="A14" t="str">
            <v>Imbo</v>
          </cell>
          <cell r="C14">
            <v>177082631</v>
          </cell>
        </row>
        <row r="15">
          <cell r="A15" t="str">
            <v>Kadongo SS</v>
          </cell>
          <cell r="C15">
            <v>175565308</v>
          </cell>
        </row>
        <row r="16">
          <cell r="A16" t="str">
            <v>Katito</v>
          </cell>
          <cell r="C16">
            <v>177358757</v>
          </cell>
        </row>
        <row r="17">
          <cell r="A17" t="str">
            <v>KEGATI - KISII</v>
          </cell>
          <cell r="C17">
            <v>173694355</v>
          </cell>
        </row>
        <row r="18">
          <cell r="A18" t="str">
            <v>Kemera</v>
          </cell>
          <cell r="C18">
            <v>177441575</v>
          </cell>
        </row>
        <row r="19">
          <cell r="A19" t="str">
            <v>Kijeuri</v>
          </cell>
          <cell r="C19">
            <v>175811049</v>
          </cell>
        </row>
        <row r="20">
          <cell r="A20" t="str">
            <v>Kisumu (CBD)</v>
          </cell>
          <cell r="C20">
            <v>171355551</v>
          </cell>
        </row>
        <row r="21">
          <cell r="A21" t="str">
            <v>Koyani</v>
          </cell>
          <cell r="C21">
            <v>175557400</v>
          </cell>
        </row>
        <row r="22">
          <cell r="A22" t="str">
            <v>Magena</v>
          </cell>
          <cell r="C22">
            <v>197443035</v>
          </cell>
        </row>
        <row r="23">
          <cell r="A23" t="str">
            <v>Mamboleo</v>
          </cell>
          <cell r="C23">
            <v>188985121</v>
          </cell>
        </row>
        <row r="24">
          <cell r="A24" t="str">
            <v>Manga</v>
          </cell>
          <cell r="C24">
            <v>177437532</v>
          </cell>
        </row>
        <row r="25">
          <cell r="A25" t="str">
            <v>Manyatta</v>
          </cell>
          <cell r="C25">
            <v>178105884</v>
          </cell>
        </row>
        <row r="26">
          <cell r="A26" t="str">
            <v>Manyuanda</v>
          </cell>
          <cell r="C26">
            <v>178808861</v>
          </cell>
        </row>
        <row r="27">
          <cell r="A27" t="str">
            <v>Mogonga</v>
          </cell>
          <cell r="C27">
            <v>33310178</v>
          </cell>
        </row>
        <row r="28">
          <cell r="A28" t="str">
            <v>Mutumbu</v>
          </cell>
          <cell r="C28">
            <v>177172774</v>
          </cell>
        </row>
        <row r="29">
          <cell r="A29" t="str">
            <v>Nambale</v>
          </cell>
          <cell r="C29">
            <v>177042247</v>
          </cell>
        </row>
        <row r="30">
          <cell r="A30" t="str">
            <v>Ndhiwa</v>
          </cell>
          <cell r="C30">
            <v>177108115</v>
          </cell>
        </row>
        <row r="31">
          <cell r="A31" t="str">
            <v>Ndigwa</v>
          </cell>
          <cell r="C31">
            <v>177174986</v>
          </cell>
        </row>
        <row r="32">
          <cell r="A32" t="str">
            <v>Ndiru</v>
          </cell>
          <cell r="C32">
            <v>175565001</v>
          </cell>
        </row>
        <row r="33">
          <cell r="A33" t="str">
            <v>Ndori</v>
          </cell>
          <cell r="C33">
            <v>178154710</v>
          </cell>
        </row>
        <row r="34">
          <cell r="A34" t="str">
            <v>Ndwara</v>
          </cell>
          <cell r="C34">
            <v>177995909</v>
          </cell>
        </row>
        <row r="35">
          <cell r="A35" t="str">
            <v>Nyadorera</v>
          </cell>
          <cell r="C35">
            <v>177363916</v>
          </cell>
        </row>
        <row r="36">
          <cell r="A36" t="str">
            <v>Nyamasaria -Kisumu</v>
          </cell>
          <cell r="C36">
            <v>170999387</v>
          </cell>
        </row>
        <row r="37">
          <cell r="A37" t="str">
            <v>Nyamira CBD</v>
          </cell>
          <cell r="C37">
            <v>177449814</v>
          </cell>
        </row>
        <row r="38">
          <cell r="A38" t="str">
            <v>Nyamonye</v>
          </cell>
          <cell r="C38">
            <v>177526472</v>
          </cell>
        </row>
        <row r="39">
          <cell r="A39" t="str">
            <v>Nyandiwa</v>
          </cell>
          <cell r="C39">
            <v>177176835</v>
          </cell>
        </row>
        <row r="40">
          <cell r="A40" t="str">
            <v>Nyangweso</v>
          </cell>
          <cell r="C40">
            <v>175565282</v>
          </cell>
        </row>
        <row r="41">
          <cell r="A41" t="str">
            <v>Nyatieko</v>
          </cell>
          <cell r="C41">
            <v>174007825</v>
          </cell>
        </row>
        <row r="42">
          <cell r="A42" t="str">
            <v>Obambo</v>
          </cell>
          <cell r="C42">
            <v>193493396</v>
          </cell>
        </row>
        <row r="43">
          <cell r="A43" t="str">
            <v>Olare</v>
          </cell>
          <cell r="C43">
            <v>143227353</v>
          </cell>
        </row>
        <row r="44">
          <cell r="A44" t="str">
            <v>Omboga</v>
          </cell>
          <cell r="C44">
            <v>192684021</v>
          </cell>
        </row>
        <row r="45">
          <cell r="A45" t="str">
            <v>Ombwede</v>
          </cell>
          <cell r="C45">
            <v>177561263</v>
          </cell>
        </row>
        <row r="46">
          <cell r="A46" t="str">
            <v>Otonglo (Costalina)</v>
          </cell>
          <cell r="C46">
            <v>171359340</v>
          </cell>
        </row>
        <row r="47">
          <cell r="A47" t="str">
            <v>Oyugis</v>
          </cell>
          <cell r="C47">
            <v>192693099</v>
          </cell>
        </row>
        <row r="48">
          <cell r="A48" t="str">
            <v>Rangenyo</v>
          </cell>
          <cell r="C48">
            <v>191713603</v>
          </cell>
        </row>
        <row r="49">
          <cell r="A49" t="str">
            <v>Riat 1</v>
          </cell>
          <cell r="C49">
            <v>178360341</v>
          </cell>
        </row>
        <row r="50">
          <cell r="A50" t="str">
            <v>Riat 2</v>
          </cell>
          <cell r="C50">
            <v>177203302</v>
          </cell>
        </row>
        <row r="51">
          <cell r="A51" t="str">
            <v>Ringa</v>
          </cell>
          <cell r="C51">
            <v>175557749</v>
          </cell>
        </row>
        <row r="52">
          <cell r="A52" t="str">
            <v>Rodi Kopany</v>
          </cell>
          <cell r="C52">
            <v>127647515</v>
          </cell>
        </row>
        <row r="53">
          <cell r="A53" t="str">
            <v>Sega</v>
          </cell>
          <cell r="C53">
            <v>196854065</v>
          </cell>
        </row>
        <row r="54">
          <cell r="A54" t="str">
            <v>Sikri</v>
          </cell>
          <cell r="C54">
            <v>175557099</v>
          </cell>
        </row>
        <row r="55">
          <cell r="A55" t="str">
            <v>Ugunja</v>
          </cell>
          <cell r="C55">
            <v>177178233</v>
          </cell>
        </row>
        <row r="56">
          <cell r="A56" t="str">
            <v>Ukwala</v>
          </cell>
          <cell r="C56">
            <v>177178506</v>
          </cell>
        </row>
        <row r="57">
          <cell r="A57" t="str">
            <v>Usenge</v>
          </cell>
          <cell r="C57">
            <v>197413085</v>
          </cell>
        </row>
        <row r="58">
          <cell r="A58" t="str">
            <v>Birongo</v>
          </cell>
          <cell r="C58">
            <v>198370104</v>
          </cell>
        </row>
        <row r="59">
          <cell r="A59" t="str">
            <v>Igonga</v>
          </cell>
          <cell r="C59">
            <v>198379103</v>
          </cell>
        </row>
        <row r="60">
          <cell r="A60" t="str">
            <v>Kehancha</v>
          </cell>
          <cell r="C60">
            <v>197297551</v>
          </cell>
        </row>
        <row r="61">
          <cell r="A61" t="str">
            <v>Keroka</v>
          </cell>
          <cell r="C61">
            <v>197258300</v>
          </cell>
        </row>
        <row r="62">
          <cell r="A62" t="str">
            <v>Keumbu</v>
          </cell>
          <cell r="C62">
            <v>175990310</v>
          </cell>
        </row>
        <row r="63">
          <cell r="A63" t="str">
            <v>Migori Town</v>
          </cell>
          <cell r="C63">
            <v>177602410</v>
          </cell>
        </row>
        <row r="64">
          <cell r="A64" t="str">
            <v>Mosocho</v>
          </cell>
          <cell r="C64">
            <v>21304548</v>
          </cell>
        </row>
        <row r="65">
          <cell r="A65" t="str">
            <v>Muhuru Tagache SS</v>
          </cell>
          <cell r="C65">
            <v>29824384</v>
          </cell>
        </row>
        <row r="66">
          <cell r="A66" t="str">
            <v>MWEMBE - KISII</v>
          </cell>
          <cell r="C66">
            <v>177377845</v>
          </cell>
        </row>
        <row r="67">
          <cell r="A67" t="str">
            <v>Nyachenge</v>
          </cell>
          <cell r="C67">
            <v>198369888</v>
          </cell>
        </row>
        <row r="68">
          <cell r="A68" t="str">
            <v>Nyagesenda</v>
          </cell>
          <cell r="C68"/>
        </row>
        <row r="69">
          <cell r="A69" t="str">
            <v>Nyamache</v>
          </cell>
          <cell r="C69">
            <v>198378954</v>
          </cell>
        </row>
        <row r="70">
          <cell r="A70" t="str">
            <v>Nyamataro</v>
          </cell>
          <cell r="C70">
            <v>198500589</v>
          </cell>
        </row>
        <row r="71">
          <cell r="A71" t="str">
            <v>Riosiri</v>
          </cell>
          <cell r="C71">
            <v>177309990</v>
          </cell>
        </row>
        <row r="72">
          <cell r="A72" t="str">
            <v>Rongo</v>
          </cell>
          <cell r="C72">
            <v>177896717</v>
          </cell>
        </row>
        <row r="73">
          <cell r="A73" t="str">
            <v>Suneka</v>
          </cell>
          <cell r="C73">
            <v>175823899</v>
          </cell>
        </row>
        <row r="74">
          <cell r="A74" t="str">
            <v>Tabaka</v>
          </cell>
          <cell r="C74">
            <v>174018903</v>
          </cell>
        </row>
        <row r="75">
          <cell r="A75" t="str">
            <v>Uriri</v>
          </cell>
          <cell r="C75">
            <v>198126452</v>
          </cell>
        </row>
        <row r="76">
          <cell r="A76" t="str">
            <v>Bukura</v>
          </cell>
          <cell r="C76">
            <v>173602307</v>
          </cell>
        </row>
        <row r="77">
          <cell r="A77" t="str">
            <v>Bushiri</v>
          </cell>
          <cell r="C77">
            <v>175085253</v>
          </cell>
        </row>
        <row r="78">
          <cell r="A78" t="str">
            <v>Butali</v>
          </cell>
          <cell r="C78">
            <v>174518831</v>
          </cell>
        </row>
        <row r="79">
          <cell r="A79" t="str">
            <v>Chimoi</v>
          </cell>
          <cell r="C79">
            <v>177716527</v>
          </cell>
        </row>
        <row r="80">
          <cell r="A80" t="str">
            <v>Ejinja</v>
          </cell>
          <cell r="C80">
            <v>177116254</v>
          </cell>
        </row>
        <row r="81">
          <cell r="A81" t="str">
            <v>Ekero</v>
          </cell>
          <cell r="C81">
            <v>174511212</v>
          </cell>
        </row>
        <row r="82">
          <cell r="A82" t="str">
            <v>Emukaba</v>
          </cell>
          <cell r="C82">
            <v>175083494</v>
          </cell>
        </row>
        <row r="83">
          <cell r="A83" t="str">
            <v>Emusala</v>
          </cell>
          <cell r="C83">
            <v>175098128</v>
          </cell>
        </row>
        <row r="84">
          <cell r="A84" t="str">
            <v>Eshisiru</v>
          </cell>
          <cell r="C84"/>
        </row>
        <row r="85">
          <cell r="A85" t="str">
            <v>Ikonyero</v>
          </cell>
          <cell r="C85">
            <v>173595851</v>
          </cell>
        </row>
        <row r="86">
          <cell r="A86" t="str">
            <v>Ingoste</v>
          </cell>
          <cell r="C86">
            <v>31360613</v>
          </cell>
        </row>
        <row r="87">
          <cell r="A87" t="str">
            <v>Kabras</v>
          </cell>
          <cell r="C87">
            <v>174511667</v>
          </cell>
        </row>
        <row r="88">
          <cell r="A88" t="str">
            <v>KAKAMEGA 2</v>
          </cell>
          <cell r="C88">
            <v>172313886</v>
          </cell>
        </row>
        <row r="89">
          <cell r="A89" t="str">
            <v>Kakamega 3</v>
          </cell>
          <cell r="C89">
            <v>173601838</v>
          </cell>
        </row>
        <row r="90">
          <cell r="A90" t="str">
            <v>Kakoyi</v>
          </cell>
          <cell r="C90">
            <v>174511956</v>
          </cell>
        </row>
        <row r="91">
          <cell r="A91" t="str">
            <v>Khayega</v>
          </cell>
          <cell r="C91">
            <v>178762326</v>
          </cell>
        </row>
        <row r="92">
          <cell r="A92" t="str">
            <v>Kimang'eti</v>
          </cell>
          <cell r="C92">
            <v>177120260</v>
          </cell>
        </row>
        <row r="93">
          <cell r="A93" t="str">
            <v>Lubao</v>
          </cell>
          <cell r="C93">
            <v>177127331</v>
          </cell>
        </row>
        <row r="94">
          <cell r="A94" t="str">
            <v>Lwandeti</v>
          </cell>
          <cell r="C94">
            <v>177716297</v>
          </cell>
        </row>
        <row r="95">
          <cell r="A95" t="str">
            <v>Makunga</v>
          </cell>
          <cell r="C95">
            <v>174512210</v>
          </cell>
        </row>
        <row r="96">
          <cell r="A96" t="str">
            <v>Malava</v>
          </cell>
          <cell r="C96">
            <v>28719854</v>
          </cell>
        </row>
        <row r="97">
          <cell r="A97" t="str">
            <v>Matete</v>
          </cell>
          <cell r="C97">
            <v>174511139</v>
          </cell>
        </row>
        <row r="98">
          <cell r="A98" t="str">
            <v>MEENA KAKAMEGA</v>
          </cell>
          <cell r="C98">
            <v>21608468</v>
          </cell>
        </row>
        <row r="99">
          <cell r="A99" t="str">
            <v>Murhanda</v>
          </cell>
          <cell r="C99">
            <v>175085055</v>
          </cell>
        </row>
        <row r="100">
          <cell r="A100" t="str">
            <v>Nambacha</v>
          </cell>
          <cell r="C100">
            <v>175098433</v>
          </cell>
        </row>
        <row r="101">
          <cell r="A101" t="str">
            <v>Navakholo</v>
          </cell>
          <cell r="C101">
            <v>198415855</v>
          </cell>
        </row>
        <row r="102">
          <cell r="A102" t="str">
            <v>Shianda</v>
          </cell>
          <cell r="C102">
            <v>173537465</v>
          </cell>
        </row>
        <row r="103">
          <cell r="A103" t="str">
            <v>Shibuli</v>
          </cell>
          <cell r="C103">
            <v>175557129</v>
          </cell>
        </row>
        <row r="104">
          <cell r="A104" t="str">
            <v>Shinyalu</v>
          </cell>
          <cell r="C104">
            <v>175082850</v>
          </cell>
        </row>
        <row r="105">
          <cell r="A105" t="str">
            <v>West Kenya</v>
          </cell>
          <cell r="C105">
            <v>174518344</v>
          </cell>
        </row>
        <row r="106">
          <cell r="A106" t="str">
            <v>Got Kokech</v>
          </cell>
          <cell r="C106">
            <v>92802493327</v>
          </cell>
        </row>
        <row r="107">
          <cell r="A107" t="str">
            <v>Oyuma</v>
          </cell>
          <cell r="C107">
            <v>25700445585</v>
          </cell>
        </row>
        <row r="108">
          <cell r="A108" t="str">
            <v>Rakwaro</v>
          </cell>
          <cell r="C108">
            <v>92802523230</v>
          </cell>
        </row>
        <row r="109">
          <cell r="A109" t="str">
            <v>Bondo 2</v>
          </cell>
          <cell r="C109">
            <v>178808808</v>
          </cell>
        </row>
        <row r="110">
          <cell r="A110" t="str">
            <v>Dondi</v>
          </cell>
          <cell r="C110">
            <v>197629506</v>
          </cell>
        </row>
        <row r="111">
          <cell r="A111" t="str">
            <v>Siaya Town</v>
          </cell>
          <cell r="C111">
            <v>173935834</v>
          </cell>
        </row>
        <row r="112">
          <cell r="A112" t="str">
            <v>Bukembe</v>
          </cell>
          <cell r="C112">
            <v>25700950659</v>
          </cell>
        </row>
        <row r="113">
          <cell r="A113" t="str">
            <v>Bungoma</v>
          </cell>
          <cell r="C113">
            <v>25700922187</v>
          </cell>
        </row>
        <row r="114">
          <cell r="A114" t="str">
            <v>Bungoma 2</v>
          </cell>
          <cell r="C114">
            <v>25700925917</v>
          </cell>
        </row>
        <row r="115">
          <cell r="A115" t="str">
            <v>Chwele</v>
          </cell>
          <cell r="C115">
            <v>189015922</v>
          </cell>
        </row>
        <row r="116">
          <cell r="A116" t="str">
            <v>Kabula</v>
          </cell>
          <cell r="C116">
            <v>92802608643</v>
          </cell>
        </row>
        <row r="117">
          <cell r="A117" t="str">
            <v>Kamkuywa</v>
          </cell>
          <cell r="C117">
            <v>25700925925</v>
          </cell>
        </row>
        <row r="118">
          <cell r="A118" t="str">
            <v>Kanduyi</v>
          </cell>
          <cell r="C118">
            <v>25700922203</v>
          </cell>
        </row>
        <row r="119">
          <cell r="A119" t="str">
            <v>Kapsokwony</v>
          </cell>
          <cell r="C119">
            <v>92802633542</v>
          </cell>
        </row>
        <row r="120">
          <cell r="A120" t="str">
            <v>Kimaeti</v>
          </cell>
          <cell r="C120">
            <v>92800468735</v>
          </cell>
        </row>
        <row r="121">
          <cell r="A121" t="str">
            <v>Kimilili</v>
          </cell>
          <cell r="C121">
            <v>25700922195</v>
          </cell>
        </row>
        <row r="122">
          <cell r="A122" t="str">
            <v>Kimwanga</v>
          </cell>
          <cell r="C122">
            <v>92800446871</v>
          </cell>
        </row>
        <row r="123">
          <cell r="A123" t="str">
            <v>Makutano Bungoma</v>
          </cell>
          <cell r="C123">
            <v>92800457258</v>
          </cell>
        </row>
        <row r="124">
          <cell r="A124" t="str">
            <v>Malakisi</v>
          </cell>
          <cell r="C124">
            <v>92802601762</v>
          </cell>
        </row>
        <row r="125">
          <cell r="A125" t="str">
            <v>Mateka</v>
          </cell>
          <cell r="C125">
            <v>25700922179</v>
          </cell>
        </row>
        <row r="126">
          <cell r="A126" t="str">
            <v>Mayanja</v>
          </cell>
          <cell r="C126">
            <v>92800468701</v>
          </cell>
        </row>
        <row r="127">
          <cell r="A127" t="str">
            <v>Misikhu</v>
          </cell>
          <cell r="C127">
            <v>92800457282</v>
          </cell>
        </row>
        <row r="128">
          <cell r="A128" t="str">
            <v>Mucharage</v>
          </cell>
          <cell r="C128">
            <v>92802642402</v>
          </cell>
        </row>
        <row r="129">
          <cell r="A129" t="str">
            <v>Musikoma</v>
          </cell>
          <cell r="C129">
            <v>92802602224</v>
          </cell>
        </row>
        <row r="130">
          <cell r="A130" t="str">
            <v>Myanga</v>
          </cell>
          <cell r="C130">
            <v>92802633500</v>
          </cell>
        </row>
        <row r="131">
          <cell r="A131" t="str">
            <v>Naitiri</v>
          </cell>
          <cell r="C131">
            <v>92800478775</v>
          </cell>
        </row>
        <row r="132">
          <cell r="A132" t="str">
            <v>Nalondo</v>
          </cell>
          <cell r="C132">
            <v>92800457266</v>
          </cell>
        </row>
        <row r="133">
          <cell r="A133" t="str">
            <v>Nashianda</v>
          </cell>
          <cell r="C133">
            <v>92802633492</v>
          </cell>
        </row>
        <row r="134">
          <cell r="A134" t="str">
            <v>Sang'alo</v>
          </cell>
          <cell r="C134">
            <v>92800483296</v>
          </cell>
        </row>
        <row r="135">
          <cell r="A135" t="str">
            <v>Sirisia</v>
          </cell>
          <cell r="C135">
            <v>92802633526</v>
          </cell>
        </row>
        <row r="136">
          <cell r="A136" t="str">
            <v>Webuye</v>
          </cell>
          <cell r="C136">
            <v>92800468727</v>
          </cell>
        </row>
        <row r="137">
          <cell r="A137" t="str">
            <v>Kasongo</v>
          </cell>
          <cell r="C137">
            <v>40458887</v>
          </cell>
        </row>
        <row r="138">
          <cell r="A138" t="str">
            <v>Kisian</v>
          </cell>
          <cell r="C138">
            <v>57300043551</v>
          </cell>
        </row>
        <row r="139">
          <cell r="A139" t="str">
            <v>Lela</v>
          </cell>
          <cell r="C139">
            <v>25700979237</v>
          </cell>
        </row>
        <row r="140">
          <cell r="A140" t="str">
            <v>Boyani</v>
          </cell>
          <cell r="C140">
            <v>175572882</v>
          </cell>
        </row>
        <row r="141">
          <cell r="A141" t="str">
            <v>Butere</v>
          </cell>
          <cell r="C141">
            <v>173594193</v>
          </cell>
        </row>
        <row r="142">
          <cell r="A142" t="str">
            <v>Buyangu</v>
          </cell>
          <cell r="C142">
            <v>177043256</v>
          </cell>
        </row>
        <row r="143">
          <cell r="A143" t="str">
            <v>Chavakali</v>
          </cell>
          <cell r="C143">
            <v>174173452</v>
          </cell>
        </row>
        <row r="144">
          <cell r="A144" t="str">
            <v>Eregi</v>
          </cell>
          <cell r="C144">
            <v>177715687</v>
          </cell>
        </row>
        <row r="145">
          <cell r="A145" t="str">
            <v>Kaimosi</v>
          </cell>
          <cell r="C145">
            <v>174173607</v>
          </cell>
        </row>
        <row r="146">
          <cell r="A146" t="str">
            <v>Luanda</v>
          </cell>
          <cell r="C146">
            <v>177044882</v>
          </cell>
        </row>
        <row r="147">
          <cell r="A147" t="str">
            <v>Mago</v>
          </cell>
          <cell r="C147">
            <v>177261551</v>
          </cell>
        </row>
        <row r="148">
          <cell r="A148" t="str">
            <v>Majengo Vihiga</v>
          </cell>
          <cell r="C148">
            <v>174751483</v>
          </cell>
        </row>
        <row r="149">
          <cell r="A149" t="str">
            <v>Mbale</v>
          </cell>
          <cell r="C149">
            <v>178545240</v>
          </cell>
        </row>
        <row r="150">
          <cell r="A150" t="str">
            <v>Mudete</v>
          </cell>
          <cell r="C150">
            <v>177050996</v>
          </cell>
        </row>
        <row r="151">
          <cell r="A151" t="str">
            <v>Mulwanda</v>
          </cell>
          <cell r="C151">
            <v>177120492</v>
          </cell>
        </row>
        <row r="152">
          <cell r="A152" t="str">
            <v>Musasa</v>
          </cell>
          <cell r="C152">
            <v>177042809</v>
          </cell>
        </row>
        <row r="153">
          <cell r="A153" t="str">
            <v>Sabatia</v>
          </cell>
          <cell r="C153">
            <v>30749451</v>
          </cell>
        </row>
        <row r="154">
          <cell r="A154" t="str">
            <v>Serem</v>
          </cell>
          <cell r="C154">
            <v>177050582</v>
          </cell>
        </row>
        <row r="155">
          <cell r="A155" t="str">
            <v>Vihiga Primary</v>
          </cell>
          <cell r="C155">
            <v>174751810</v>
          </cell>
        </row>
        <row r="156">
          <cell r="A156" t="str">
            <v>Amukura</v>
          </cell>
          <cell r="C156">
            <v>196027553</v>
          </cell>
        </row>
        <row r="157">
          <cell r="A157" t="str">
            <v>Bukandanyi</v>
          </cell>
          <cell r="C157">
            <v>196143347</v>
          </cell>
        </row>
        <row r="158">
          <cell r="A158" t="str">
            <v>Busia CBD</v>
          </cell>
          <cell r="C158">
            <v>196434100</v>
          </cell>
        </row>
        <row r="159">
          <cell r="A159" t="str">
            <v>Lukolis</v>
          </cell>
          <cell r="C159">
            <v>195936059</v>
          </cell>
        </row>
        <row r="160">
          <cell r="A160" t="str">
            <v>Malaba CBD</v>
          </cell>
          <cell r="C160">
            <v>195822711</v>
          </cell>
        </row>
        <row r="161">
          <cell r="A161" t="str">
            <v>Mundika</v>
          </cell>
          <cell r="C161">
            <v>195492693</v>
          </cell>
        </row>
        <row r="162">
          <cell r="A162" t="str">
            <v>Murumba</v>
          </cell>
          <cell r="C162">
            <v>196034791</v>
          </cell>
        </row>
        <row r="163">
          <cell r="A163" t="str">
            <v>Sidende</v>
          </cell>
          <cell r="C163">
            <v>179297979</v>
          </cell>
        </row>
        <row r="164">
          <cell r="A164" t="str">
            <v>Tangakona</v>
          </cell>
          <cell r="C164"/>
        </row>
        <row r="165">
          <cell r="A165" t="str">
            <v>Work centre</v>
          </cell>
          <cell r="C165">
            <v>177050780</v>
          </cell>
        </row>
        <row r="166">
          <cell r="A166" t="str">
            <v>Nyamira CBD</v>
          </cell>
          <cell r="C166">
            <v>177761786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ion Summary"/>
      <sheetName val="Net SOC Details"/>
    </sheetNames>
    <sheetDataSet>
      <sheetData sheetId="0">
        <row r="1">
          <cell r="A1" t="str">
            <v>Station</v>
          </cell>
          <cell r="E1" t="str">
            <v>Total_Net_SOC</v>
          </cell>
        </row>
        <row r="2">
          <cell r="A2" t="str">
            <v>Ahero</v>
          </cell>
          <cell r="E2">
            <v>84746</v>
          </cell>
        </row>
        <row r="3">
          <cell r="A3" t="str">
            <v>Alendu</v>
          </cell>
          <cell r="E3">
            <v>55345</v>
          </cell>
        </row>
        <row r="4">
          <cell r="A4" t="str">
            <v>Anyuongi</v>
          </cell>
          <cell r="E4">
            <v>42399</v>
          </cell>
        </row>
        <row r="5">
          <cell r="A5" t="str">
            <v>Arwos</v>
          </cell>
          <cell r="E5">
            <v>23360</v>
          </cell>
        </row>
        <row r="6">
          <cell r="A6" t="str">
            <v>Athi River</v>
          </cell>
          <cell r="E6">
            <v>92904</v>
          </cell>
        </row>
        <row r="7">
          <cell r="A7" t="str">
            <v>Awasi</v>
          </cell>
          <cell r="E7">
            <v>92264</v>
          </cell>
        </row>
        <row r="8">
          <cell r="A8" t="str">
            <v>Baharini</v>
          </cell>
          <cell r="E8">
            <v>31018</v>
          </cell>
        </row>
        <row r="9">
          <cell r="A9" t="str">
            <v>Bakulei</v>
          </cell>
          <cell r="E9">
            <v>24294</v>
          </cell>
        </row>
        <row r="10">
          <cell r="A10" t="str">
            <v>Baricho</v>
          </cell>
          <cell r="E10">
            <v>30135</v>
          </cell>
        </row>
        <row r="11">
          <cell r="A11" t="str">
            <v>Bondeni</v>
          </cell>
          <cell r="E11">
            <v>47571</v>
          </cell>
        </row>
        <row r="12">
          <cell r="A12" t="str">
            <v>Bondo</v>
          </cell>
          <cell r="E12">
            <v>130155</v>
          </cell>
        </row>
        <row r="13">
          <cell r="A13" t="str">
            <v>Boro</v>
          </cell>
          <cell r="E13">
            <v>93615</v>
          </cell>
        </row>
        <row r="14">
          <cell r="A14" t="str">
            <v>Bronjo</v>
          </cell>
          <cell r="E14">
            <v>17074</v>
          </cell>
        </row>
        <row r="15">
          <cell r="A15" t="str">
            <v>Chembulet</v>
          </cell>
          <cell r="E15">
            <v>4274</v>
          </cell>
        </row>
        <row r="16">
          <cell r="A16" t="str">
            <v>Chepkorio</v>
          </cell>
          <cell r="E16">
            <v>12349</v>
          </cell>
        </row>
        <row r="17">
          <cell r="A17" t="str">
            <v>Chianda</v>
          </cell>
          <cell r="E17">
            <v>55145</v>
          </cell>
        </row>
        <row r="18">
          <cell r="A18" t="str">
            <v>Chiga</v>
          </cell>
          <cell r="E18">
            <v>61923</v>
          </cell>
        </row>
        <row r="19">
          <cell r="A19" t="str">
            <v>Chuka</v>
          </cell>
          <cell r="E19">
            <v>159562</v>
          </cell>
        </row>
        <row r="20">
          <cell r="A20" t="str">
            <v>Daraja Mbili</v>
          </cell>
          <cell r="E20">
            <v>110784</v>
          </cell>
        </row>
        <row r="21">
          <cell r="A21" t="str">
            <v>Devki</v>
          </cell>
          <cell r="E21">
            <v>218699</v>
          </cell>
        </row>
        <row r="22">
          <cell r="A22" t="str">
            <v>Elgons</v>
          </cell>
          <cell r="E22">
            <v>66285</v>
          </cell>
        </row>
        <row r="23">
          <cell r="A23" t="str">
            <v>Embakasi</v>
          </cell>
          <cell r="E23">
            <v>547439</v>
          </cell>
        </row>
        <row r="24">
          <cell r="A24" t="str">
            <v>FEDHA</v>
          </cell>
          <cell r="E24">
            <v>634429</v>
          </cell>
        </row>
        <row r="25">
          <cell r="A25" t="str">
            <v>Flax</v>
          </cell>
          <cell r="E25">
            <v>6865</v>
          </cell>
        </row>
        <row r="26">
          <cell r="A26" t="str">
            <v>GITHURAI - 45</v>
          </cell>
          <cell r="E26">
            <v>496104</v>
          </cell>
        </row>
        <row r="27">
          <cell r="A27" t="str">
            <v>GRANDPRI CBD ELDORET</v>
          </cell>
          <cell r="E27">
            <v>278203</v>
          </cell>
        </row>
        <row r="28">
          <cell r="A28" t="str">
            <v>Gachie</v>
          </cell>
          <cell r="E28">
            <v>263839</v>
          </cell>
        </row>
        <row r="29">
          <cell r="A29" t="str">
            <v>Gatua</v>
          </cell>
          <cell r="E29">
            <v>14180</v>
          </cell>
        </row>
        <row r="30">
          <cell r="A30" t="str">
            <v>Getare</v>
          </cell>
          <cell r="E30">
            <v>4667</v>
          </cell>
        </row>
        <row r="31">
          <cell r="A31" t="str">
            <v>Getuya</v>
          </cell>
          <cell r="E31">
            <v>6968</v>
          </cell>
        </row>
        <row r="32">
          <cell r="A32" t="str">
            <v>Gilgil Town</v>
          </cell>
          <cell r="E32">
            <v>42674</v>
          </cell>
        </row>
        <row r="33">
          <cell r="A33" t="str">
            <v>Githurai 45 2</v>
          </cell>
          <cell r="E33">
            <v>130367</v>
          </cell>
        </row>
        <row r="34">
          <cell r="A34" t="str">
            <v>Got Rabuor</v>
          </cell>
          <cell r="E34">
            <v>101832</v>
          </cell>
        </row>
        <row r="35">
          <cell r="A35" t="str">
            <v>Highpoint</v>
          </cell>
          <cell r="E35">
            <v>157937</v>
          </cell>
        </row>
        <row r="36">
          <cell r="A36" t="str">
            <v>Ikalaasa</v>
          </cell>
          <cell r="E36">
            <v>18342</v>
          </cell>
        </row>
        <row r="37">
          <cell r="A37" t="str">
            <v>Imbo</v>
          </cell>
          <cell r="E37">
            <v>85343</v>
          </cell>
        </row>
        <row r="38">
          <cell r="A38" t="str">
            <v>Iten Town</v>
          </cell>
          <cell r="E38">
            <v>32180</v>
          </cell>
        </row>
        <row r="39">
          <cell r="A39" t="str">
            <v>Jogoo Rd (Oryx) 1</v>
          </cell>
          <cell r="E39">
            <v>642081</v>
          </cell>
        </row>
        <row r="40">
          <cell r="A40" t="str">
            <v>Joska</v>
          </cell>
          <cell r="E40">
            <v>269299</v>
          </cell>
        </row>
        <row r="41">
          <cell r="A41" t="str">
            <v>Josmat</v>
          </cell>
          <cell r="E41">
            <v>41097</v>
          </cell>
        </row>
        <row r="42">
          <cell r="A42" t="str">
            <v>KAPSABET-2</v>
          </cell>
          <cell r="E42">
            <v>123390</v>
          </cell>
        </row>
        <row r="43">
          <cell r="A43" t="str">
            <v>KEGATI - KISII</v>
          </cell>
          <cell r="E43">
            <v>11308</v>
          </cell>
        </row>
        <row r="44">
          <cell r="A44" t="str">
            <v>KK Meru</v>
          </cell>
          <cell r="E44">
            <v>164246</v>
          </cell>
        </row>
        <row r="45">
          <cell r="A45" t="str">
            <v>Kaani</v>
          </cell>
          <cell r="E45">
            <v>25740</v>
          </cell>
        </row>
        <row r="46">
          <cell r="A46" t="str">
            <v>Kabaa</v>
          </cell>
          <cell r="E46">
            <v>146716</v>
          </cell>
        </row>
        <row r="47">
          <cell r="A47" t="str">
            <v>Kabartonjo</v>
          </cell>
          <cell r="E47">
            <v>6570</v>
          </cell>
        </row>
        <row r="48">
          <cell r="A48" t="str">
            <v>Kadongo SS</v>
          </cell>
          <cell r="E48">
            <v>74021</v>
          </cell>
        </row>
        <row r="49">
          <cell r="A49" t="str">
            <v>Kagio</v>
          </cell>
          <cell r="E49">
            <v>222210</v>
          </cell>
        </row>
        <row r="50">
          <cell r="A50" t="str">
            <v>Kainange</v>
          </cell>
          <cell r="E50">
            <v>19239</v>
          </cell>
        </row>
        <row r="51">
          <cell r="A51" t="str">
            <v>Kangeta</v>
          </cell>
          <cell r="E51">
            <v>218040</v>
          </cell>
        </row>
        <row r="52">
          <cell r="A52" t="str">
            <v>Kanyariri</v>
          </cell>
          <cell r="E52">
            <v>106132</v>
          </cell>
        </row>
        <row r="53">
          <cell r="A53" t="str">
            <v>Kapkatet</v>
          </cell>
          <cell r="E53">
            <v>62094</v>
          </cell>
        </row>
        <row r="54">
          <cell r="A54" t="str">
            <v>Kapseret</v>
          </cell>
          <cell r="E54">
            <v>25018</v>
          </cell>
        </row>
        <row r="55">
          <cell r="A55" t="str">
            <v>Kapsoo</v>
          </cell>
          <cell r="E55">
            <v>54731</v>
          </cell>
        </row>
        <row r="56">
          <cell r="A56" t="str">
            <v>Katheka kai</v>
          </cell>
          <cell r="E56">
            <v>54184</v>
          </cell>
        </row>
        <row r="57">
          <cell r="A57" t="str">
            <v>Katito</v>
          </cell>
          <cell r="E57">
            <v>21655</v>
          </cell>
        </row>
        <row r="58">
          <cell r="A58" t="str">
            <v>Kawangware Galana</v>
          </cell>
          <cell r="E58">
            <v>421225</v>
          </cell>
        </row>
        <row r="59">
          <cell r="A59" t="str">
            <v>Kawethei</v>
          </cell>
          <cell r="E59">
            <v>28383</v>
          </cell>
        </row>
        <row r="60">
          <cell r="A60" t="str">
            <v>Kayole</v>
          </cell>
          <cell r="E60">
            <v>746571</v>
          </cell>
        </row>
        <row r="61">
          <cell r="A61" t="str">
            <v>Kayole Nakuru</v>
          </cell>
          <cell r="E61">
            <v>19824</v>
          </cell>
        </row>
        <row r="62">
          <cell r="A62" t="str">
            <v>Kemeloi</v>
          </cell>
          <cell r="E62">
            <v>17532</v>
          </cell>
        </row>
        <row r="63">
          <cell r="A63" t="str">
            <v>Kemera</v>
          </cell>
          <cell r="E63">
            <v>30335</v>
          </cell>
        </row>
        <row r="64">
          <cell r="A64" t="str">
            <v>Kenol Machakos</v>
          </cell>
          <cell r="E64">
            <v>87805</v>
          </cell>
        </row>
        <row r="65">
          <cell r="A65" t="str">
            <v>Kiangwaci</v>
          </cell>
          <cell r="E65">
            <v>30155</v>
          </cell>
        </row>
        <row r="66">
          <cell r="A66" t="str">
            <v>Kianjai</v>
          </cell>
          <cell r="E66">
            <v>19960</v>
          </cell>
        </row>
        <row r="67">
          <cell r="A67" t="str">
            <v>Kiburu</v>
          </cell>
          <cell r="E67">
            <v>12309</v>
          </cell>
        </row>
        <row r="68">
          <cell r="A68" t="str">
            <v>Kiirua</v>
          </cell>
          <cell r="E68">
            <v>17720</v>
          </cell>
        </row>
        <row r="69">
          <cell r="A69" t="str">
            <v>Kijeuri</v>
          </cell>
          <cell r="E69">
            <v>14125</v>
          </cell>
        </row>
        <row r="70">
          <cell r="A70" t="str">
            <v>Kimbimbi</v>
          </cell>
          <cell r="E70">
            <v>141692</v>
          </cell>
        </row>
        <row r="71">
          <cell r="A71" t="str">
            <v>Kimbo</v>
          </cell>
          <cell r="E71">
            <v>364736</v>
          </cell>
        </row>
        <row r="72">
          <cell r="A72" t="str">
            <v>Kimumu (Iten Rd)</v>
          </cell>
          <cell r="E72">
            <v>122572</v>
          </cell>
        </row>
        <row r="73">
          <cell r="A73" t="str">
            <v>Kinyui</v>
          </cell>
          <cell r="E73">
            <v>14837</v>
          </cell>
        </row>
        <row r="74">
          <cell r="A74" t="str">
            <v>Kisumu (CBD)</v>
          </cell>
          <cell r="E74">
            <v>269559</v>
          </cell>
        </row>
        <row r="75">
          <cell r="A75" t="str">
            <v>Kitengela 2</v>
          </cell>
          <cell r="E75">
            <v>456730</v>
          </cell>
        </row>
        <row r="76">
          <cell r="A76" t="str">
            <v>Kitui Town Slota</v>
          </cell>
          <cell r="E76">
            <v>15265</v>
          </cell>
        </row>
        <row r="77">
          <cell r="A77" t="str">
            <v>Kivutini</v>
          </cell>
          <cell r="E77">
            <v>31312</v>
          </cell>
        </row>
        <row r="78">
          <cell r="A78" t="str">
            <v>Kona Nandi</v>
          </cell>
          <cell r="E78">
            <v>15597</v>
          </cell>
        </row>
        <row r="79">
          <cell r="A79" t="str">
            <v>Koyani</v>
          </cell>
          <cell r="E79">
            <v>13579</v>
          </cell>
        </row>
        <row r="80">
          <cell r="A80" t="str">
            <v>Kutus</v>
          </cell>
          <cell r="E80">
            <v>222208</v>
          </cell>
        </row>
        <row r="81">
          <cell r="A81" t="str">
            <v>Kyalavo</v>
          </cell>
          <cell r="E81">
            <v>5984</v>
          </cell>
        </row>
        <row r="82">
          <cell r="A82" t="str">
            <v>Kyawango</v>
          </cell>
          <cell r="E82">
            <v>46075</v>
          </cell>
        </row>
        <row r="83">
          <cell r="A83" t="str">
            <v>Kyua</v>
          </cell>
          <cell r="E83">
            <v>11374</v>
          </cell>
        </row>
        <row r="84">
          <cell r="A84" t="str">
            <v>Langas</v>
          </cell>
          <cell r="E84">
            <v>157931</v>
          </cell>
        </row>
        <row r="85">
          <cell r="A85" t="str">
            <v>Lemook</v>
          </cell>
          <cell r="E85">
            <v>57012</v>
          </cell>
        </row>
        <row r="86">
          <cell r="A86" t="str">
            <v>Lessos</v>
          </cell>
          <cell r="E86">
            <v>4631</v>
          </cell>
        </row>
        <row r="87">
          <cell r="A87" t="str">
            <v>Lincos</v>
          </cell>
          <cell r="E87">
            <v>437448</v>
          </cell>
        </row>
        <row r="88">
          <cell r="A88" t="str">
            <v>Lower Kabete</v>
          </cell>
          <cell r="E88">
            <v>132184</v>
          </cell>
        </row>
        <row r="89">
          <cell r="A89" t="str">
            <v>Magena</v>
          </cell>
          <cell r="E89">
            <v>5465</v>
          </cell>
        </row>
        <row r="90">
          <cell r="A90" t="str">
            <v>Maili Kumi</v>
          </cell>
          <cell r="E90">
            <v>12285</v>
          </cell>
        </row>
        <row r="91">
          <cell r="A91" t="str">
            <v>Mamboleo</v>
          </cell>
          <cell r="E91">
            <v>84071</v>
          </cell>
        </row>
        <row r="92">
          <cell r="A92" t="str">
            <v>Manga</v>
          </cell>
          <cell r="E92">
            <v>7246</v>
          </cell>
        </row>
        <row r="93">
          <cell r="A93" t="str">
            <v>Manyatta</v>
          </cell>
          <cell r="E93">
            <v>160409</v>
          </cell>
        </row>
        <row r="94">
          <cell r="A94" t="str">
            <v>Manyuanda</v>
          </cell>
          <cell r="E94">
            <v>43608</v>
          </cell>
        </row>
        <row r="95">
          <cell r="A95" t="str">
            <v>Marurui</v>
          </cell>
          <cell r="E95">
            <v>424072</v>
          </cell>
        </row>
        <row r="96">
          <cell r="A96" t="str">
            <v>Masii</v>
          </cell>
          <cell r="E96">
            <v>196463</v>
          </cell>
        </row>
        <row r="97">
          <cell r="A97" t="str">
            <v>Mavoko</v>
          </cell>
          <cell r="E97">
            <v>133741</v>
          </cell>
        </row>
        <row r="98">
          <cell r="A98" t="str">
            <v>Mawlem</v>
          </cell>
          <cell r="E98">
            <v>272942</v>
          </cell>
        </row>
        <row r="99">
          <cell r="A99" t="str">
            <v>Meena Collections</v>
          </cell>
          <cell r="E99">
            <v>61169</v>
          </cell>
        </row>
        <row r="100">
          <cell r="A100" t="str">
            <v>Membley</v>
          </cell>
          <cell r="E100">
            <v>352355</v>
          </cell>
        </row>
        <row r="101">
          <cell r="A101" t="str">
            <v>Meru Town</v>
          </cell>
          <cell r="E101">
            <v>374734</v>
          </cell>
        </row>
        <row r="102">
          <cell r="A102" t="str">
            <v>Mitaboni</v>
          </cell>
          <cell r="E102">
            <v>18367</v>
          </cell>
        </row>
        <row r="103">
          <cell r="A103" t="str">
            <v>Mlolongo</v>
          </cell>
          <cell r="E103">
            <v>680799</v>
          </cell>
        </row>
        <row r="104">
          <cell r="A104" t="str">
            <v>Mogonga</v>
          </cell>
          <cell r="E104">
            <v>15623</v>
          </cell>
        </row>
        <row r="105">
          <cell r="A105" t="str">
            <v>Mogotio</v>
          </cell>
          <cell r="E105">
            <v>3885</v>
          </cell>
        </row>
        <row r="106">
          <cell r="A106" t="str">
            <v>Molo</v>
          </cell>
          <cell r="E106">
            <v>44134</v>
          </cell>
        </row>
        <row r="107">
          <cell r="A107" t="str">
            <v>Mosoriot</v>
          </cell>
          <cell r="E107">
            <v>80950</v>
          </cell>
        </row>
        <row r="108">
          <cell r="A108" t="str">
            <v>Mugundoi</v>
          </cell>
          <cell r="E108">
            <v>33319</v>
          </cell>
        </row>
        <row r="109">
          <cell r="A109" t="str">
            <v>Mukukuni</v>
          </cell>
          <cell r="E109">
            <v>7003</v>
          </cell>
        </row>
        <row r="110">
          <cell r="A110" t="str">
            <v>Muraru</v>
          </cell>
          <cell r="E110">
            <v>157588</v>
          </cell>
        </row>
        <row r="111">
          <cell r="A111" t="str">
            <v>Muriri</v>
          </cell>
          <cell r="E111">
            <v>23851</v>
          </cell>
        </row>
        <row r="112">
          <cell r="A112" t="str">
            <v>Muthetheni</v>
          </cell>
          <cell r="E112">
            <v>38953</v>
          </cell>
        </row>
        <row r="113">
          <cell r="A113" t="str">
            <v>Mutumbu</v>
          </cell>
          <cell r="E113">
            <v>66192</v>
          </cell>
        </row>
        <row r="114">
          <cell r="A114" t="str">
            <v>Mwala</v>
          </cell>
          <cell r="E114">
            <v>143450</v>
          </cell>
        </row>
        <row r="115">
          <cell r="A115" t="str">
            <v>Mwanzo</v>
          </cell>
          <cell r="E115">
            <v>151070</v>
          </cell>
        </row>
        <row r="116">
          <cell r="A116" t="str">
            <v>Naca</v>
          </cell>
          <cell r="E116">
            <v>124488</v>
          </cell>
        </row>
        <row r="117">
          <cell r="A117" t="str">
            <v>Nambale</v>
          </cell>
          <cell r="E117">
            <v>90768</v>
          </cell>
        </row>
        <row r="118">
          <cell r="A118" t="str">
            <v>Nandi Hills</v>
          </cell>
          <cell r="E118">
            <v>47141</v>
          </cell>
        </row>
        <row r="119">
          <cell r="A119" t="str">
            <v>Ndenderu</v>
          </cell>
          <cell r="E119">
            <v>288558</v>
          </cell>
        </row>
        <row r="120">
          <cell r="A120" t="str">
            <v>Ndhiwa</v>
          </cell>
          <cell r="E120">
            <v>91121</v>
          </cell>
        </row>
        <row r="121">
          <cell r="A121" t="str">
            <v>Ndigwa</v>
          </cell>
          <cell r="E121">
            <v>10395</v>
          </cell>
        </row>
        <row r="122">
          <cell r="A122" t="str">
            <v>Ndiru</v>
          </cell>
          <cell r="E122">
            <v>44291</v>
          </cell>
        </row>
        <row r="123">
          <cell r="A123" t="str">
            <v>Ndori</v>
          </cell>
          <cell r="E123">
            <v>127214</v>
          </cell>
        </row>
        <row r="124">
          <cell r="A124" t="str">
            <v>Ndumberi</v>
          </cell>
          <cell r="E124">
            <v>96502</v>
          </cell>
        </row>
        <row r="125">
          <cell r="A125" t="str">
            <v>Ndurio</v>
          </cell>
          <cell r="E125">
            <v>58520</v>
          </cell>
        </row>
        <row r="126">
          <cell r="A126" t="str">
            <v>Ndwara</v>
          </cell>
          <cell r="E126">
            <v>36756</v>
          </cell>
        </row>
        <row r="127">
          <cell r="A127" t="str">
            <v>Ngecha</v>
          </cell>
          <cell r="E127">
            <v>10386</v>
          </cell>
        </row>
        <row r="128">
          <cell r="A128" t="str">
            <v>Ngong</v>
          </cell>
          <cell r="E128">
            <v>439287</v>
          </cell>
        </row>
        <row r="129">
          <cell r="A129" t="str">
            <v>Njoro</v>
          </cell>
          <cell r="E129">
            <v>36564</v>
          </cell>
        </row>
        <row r="130">
          <cell r="A130" t="str">
            <v>Nkubu</v>
          </cell>
          <cell r="E130">
            <v>157164</v>
          </cell>
        </row>
        <row r="131">
          <cell r="A131" t="str">
            <v>Nyadorera</v>
          </cell>
          <cell r="E131">
            <v>40005</v>
          </cell>
        </row>
        <row r="132">
          <cell r="A132" t="str">
            <v>Nyamasaria -Kisumu</v>
          </cell>
          <cell r="E132">
            <v>146456</v>
          </cell>
        </row>
        <row r="133">
          <cell r="A133" t="str">
            <v>Nyamira CBD</v>
          </cell>
          <cell r="E133">
            <v>133</v>
          </cell>
        </row>
        <row r="134">
          <cell r="A134" t="str">
            <v>Nyamonye</v>
          </cell>
          <cell r="E134">
            <v>53208</v>
          </cell>
        </row>
        <row r="135">
          <cell r="A135" t="str">
            <v>Nyandiwa</v>
          </cell>
          <cell r="E135">
            <v>16828</v>
          </cell>
        </row>
        <row r="136">
          <cell r="A136" t="str">
            <v>Nyangweso</v>
          </cell>
          <cell r="E136">
            <v>21427</v>
          </cell>
        </row>
        <row r="137">
          <cell r="A137" t="str">
            <v>Nyatieko</v>
          </cell>
          <cell r="E137">
            <v>9839</v>
          </cell>
        </row>
        <row r="138">
          <cell r="A138" t="str">
            <v>Obambo</v>
          </cell>
          <cell r="E138">
            <v>46354</v>
          </cell>
        </row>
        <row r="139">
          <cell r="A139" t="str">
            <v>Olare</v>
          </cell>
          <cell r="E139">
            <v>27127</v>
          </cell>
        </row>
        <row r="140">
          <cell r="A140" t="str">
            <v>Omboga</v>
          </cell>
          <cell r="E140">
            <v>26588</v>
          </cell>
        </row>
        <row r="141">
          <cell r="A141" t="str">
            <v>Ombwede</v>
          </cell>
          <cell r="E141">
            <v>9123</v>
          </cell>
        </row>
        <row r="142">
          <cell r="A142" t="str">
            <v>Otonglo (Costalina)</v>
          </cell>
          <cell r="E142">
            <v>46053</v>
          </cell>
        </row>
        <row r="143">
          <cell r="A143" t="str">
            <v>Oyugis</v>
          </cell>
          <cell r="E143">
            <v>43064</v>
          </cell>
        </row>
        <row r="144">
          <cell r="A144" t="str">
            <v>Rangenyo</v>
          </cell>
          <cell r="E144">
            <v>15825</v>
          </cell>
        </row>
        <row r="145">
          <cell r="A145" t="str">
            <v>Regen</v>
          </cell>
          <cell r="E145">
            <v>171344</v>
          </cell>
        </row>
        <row r="146">
          <cell r="A146" t="str">
            <v>Riat 1</v>
          </cell>
          <cell r="E146">
            <v>51240</v>
          </cell>
        </row>
        <row r="147">
          <cell r="A147" t="str">
            <v>Riat 2</v>
          </cell>
          <cell r="E147">
            <v>58727</v>
          </cell>
        </row>
        <row r="148">
          <cell r="A148" t="str">
            <v>Ringa</v>
          </cell>
          <cell r="E148">
            <v>66612</v>
          </cell>
        </row>
        <row r="149">
          <cell r="A149" t="str">
            <v>Rodi Kopany</v>
          </cell>
          <cell r="E149">
            <v>143351</v>
          </cell>
        </row>
        <row r="150">
          <cell r="A150" t="str">
            <v>Runyenjes</v>
          </cell>
          <cell r="E150">
            <v>107246</v>
          </cell>
        </row>
        <row r="151">
          <cell r="A151" t="str">
            <v>Sega</v>
          </cell>
          <cell r="E151">
            <v>104700</v>
          </cell>
        </row>
        <row r="152">
          <cell r="A152" t="str">
            <v>Shabaab</v>
          </cell>
          <cell r="E152">
            <v>198481</v>
          </cell>
        </row>
        <row r="153">
          <cell r="A153" t="str">
            <v>Sikri</v>
          </cell>
          <cell r="E153">
            <v>36637</v>
          </cell>
        </row>
        <row r="154">
          <cell r="A154" t="str">
            <v>Sogomo</v>
          </cell>
          <cell r="E154">
            <v>7288</v>
          </cell>
        </row>
        <row r="155">
          <cell r="A155" t="str">
            <v>Soy</v>
          </cell>
          <cell r="E155">
            <v>44271</v>
          </cell>
        </row>
        <row r="156">
          <cell r="A156" t="str">
            <v>Strawbarg</v>
          </cell>
          <cell r="E156">
            <v>6323</v>
          </cell>
        </row>
        <row r="157">
          <cell r="A157" t="str">
            <v>Tala</v>
          </cell>
          <cell r="E157">
            <v>215006</v>
          </cell>
        </row>
        <row r="158">
          <cell r="A158" t="str">
            <v>Theta</v>
          </cell>
          <cell r="E158">
            <v>104397</v>
          </cell>
        </row>
        <row r="159">
          <cell r="A159" t="str">
            <v>Toll Station Thika Rd</v>
          </cell>
          <cell r="E159">
            <v>122227</v>
          </cell>
        </row>
        <row r="160">
          <cell r="A160" t="str">
            <v>UMOJA (Phase 1)</v>
          </cell>
          <cell r="E160">
            <v>630257</v>
          </cell>
        </row>
        <row r="161">
          <cell r="A161" t="str">
            <v>UTHIRU</v>
          </cell>
          <cell r="E161">
            <v>582061</v>
          </cell>
        </row>
        <row r="162">
          <cell r="A162" t="str">
            <v>Ugunja</v>
          </cell>
          <cell r="E162">
            <v>146626</v>
          </cell>
        </row>
        <row r="163">
          <cell r="A163" t="str">
            <v>Ukwala</v>
          </cell>
          <cell r="E163">
            <v>64293</v>
          </cell>
        </row>
        <row r="164">
          <cell r="A164" t="str">
            <v>Usenge</v>
          </cell>
          <cell r="E164">
            <v>20583</v>
          </cell>
        </row>
        <row r="165">
          <cell r="A165" t="str">
            <v>Vyulya</v>
          </cell>
          <cell r="E165">
            <v>46788</v>
          </cell>
        </row>
        <row r="166">
          <cell r="A166" t="str">
            <v>Wamunyu</v>
          </cell>
          <cell r="E166">
            <v>135804</v>
          </cell>
        </row>
        <row r="167">
          <cell r="A167" t="str">
            <v>Zombe</v>
          </cell>
          <cell r="E167">
            <v>12938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0BE66-F129-4CD7-AB27-B2EDC571EF9B}">
  <dimension ref="B1:E283"/>
  <sheetViews>
    <sheetView topLeftCell="A76" workbookViewId="0">
      <selection activeCell="H160" sqref="H160"/>
    </sheetView>
  </sheetViews>
  <sheetFormatPr defaultRowHeight="14.5" x14ac:dyDescent="0.35"/>
  <cols>
    <col min="1" max="1" width="3.26953125" customWidth="1"/>
    <col min="2" max="2" width="21.7265625" bestFit="1" customWidth="1"/>
    <col min="3" max="3" width="17.7265625" style="1" bestFit="1" customWidth="1"/>
    <col min="4" max="4" width="11.7265625" style="2" bestFit="1" customWidth="1"/>
    <col min="5" max="5" width="10.81640625" bestFit="1" customWidth="1"/>
  </cols>
  <sheetData>
    <row r="1" spans="2:5" ht="15" thickBot="1" x14ac:dyDescent="0.4"/>
    <row r="2" spans="2:5" ht="15" thickBot="1" x14ac:dyDescent="0.4">
      <c r="B2" s="15" t="s">
        <v>0</v>
      </c>
      <c r="C2" s="17" t="s">
        <v>1</v>
      </c>
      <c r="D2" s="19" t="s">
        <v>2</v>
      </c>
      <c r="E2" s="18" t="s">
        <v>3</v>
      </c>
    </row>
    <row r="3" spans="2:5" x14ac:dyDescent="0.35">
      <c r="B3" s="38" t="s">
        <v>4</v>
      </c>
      <c r="C3" s="50">
        <v>171355817</v>
      </c>
      <c r="D3" s="51">
        <v>68079</v>
      </c>
      <c r="E3" s="52" t="s">
        <v>5</v>
      </c>
    </row>
    <row r="4" spans="2:5" x14ac:dyDescent="0.35">
      <c r="B4" s="23" t="s">
        <v>6</v>
      </c>
      <c r="C4" s="5">
        <v>197260395</v>
      </c>
      <c r="D4" s="9">
        <v>47882</v>
      </c>
      <c r="E4" s="53" t="s">
        <v>7</v>
      </c>
    </row>
    <row r="5" spans="2:5" x14ac:dyDescent="0.35">
      <c r="B5" s="25" t="s">
        <v>8</v>
      </c>
      <c r="C5" s="5">
        <v>177176670</v>
      </c>
      <c r="D5" s="7">
        <v>46326</v>
      </c>
      <c r="E5" s="53" t="s">
        <v>7</v>
      </c>
    </row>
    <row r="6" spans="2:5" x14ac:dyDescent="0.35">
      <c r="B6" s="25" t="s">
        <v>9</v>
      </c>
      <c r="C6" s="5">
        <v>174182616</v>
      </c>
      <c r="D6" s="7">
        <v>12671</v>
      </c>
      <c r="E6" s="53" t="s">
        <v>7</v>
      </c>
    </row>
    <row r="7" spans="2:5" x14ac:dyDescent="0.35">
      <c r="B7" s="25" t="s">
        <v>10</v>
      </c>
      <c r="C7" s="5">
        <v>178924769</v>
      </c>
      <c r="D7" s="7">
        <v>73203</v>
      </c>
      <c r="E7" s="53" t="s">
        <v>7</v>
      </c>
    </row>
    <row r="8" spans="2:5" x14ac:dyDescent="0.35">
      <c r="B8" s="25" t="s">
        <v>11</v>
      </c>
      <c r="C8" s="5">
        <v>177424795</v>
      </c>
      <c r="D8" s="7">
        <v>76801</v>
      </c>
      <c r="E8" s="53" t="s">
        <v>7</v>
      </c>
    </row>
    <row r="9" spans="2:5" x14ac:dyDescent="0.35">
      <c r="B9" s="25" t="s">
        <v>12</v>
      </c>
      <c r="C9" s="5">
        <v>191689043</v>
      </c>
      <c r="D9" s="7">
        <v>24740</v>
      </c>
      <c r="E9" s="53" t="s">
        <v>7</v>
      </c>
    </row>
    <row r="10" spans="2:5" x14ac:dyDescent="0.35">
      <c r="B10" s="25" t="s">
        <v>13</v>
      </c>
      <c r="C10" s="5">
        <v>194966212</v>
      </c>
      <c r="D10" s="7">
        <v>19829</v>
      </c>
      <c r="E10" s="53" t="s">
        <v>7</v>
      </c>
    </row>
    <row r="11" spans="2:5" x14ac:dyDescent="0.35">
      <c r="B11" s="25" t="s">
        <v>14</v>
      </c>
      <c r="C11" s="5">
        <v>178524724</v>
      </c>
      <c r="D11" s="7">
        <v>939</v>
      </c>
      <c r="E11" s="53" t="s">
        <v>7</v>
      </c>
    </row>
    <row r="12" spans="2:5" x14ac:dyDescent="0.35">
      <c r="B12" s="25" t="s">
        <v>15</v>
      </c>
      <c r="C12" s="5">
        <v>196390862</v>
      </c>
      <c r="D12" s="7">
        <v>45501</v>
      </c>
      <c r="E12" s="53" t="s">
        <v>7</v>
      </c>
    </row>
    <row r="13" spans="2:5" x14ac:dyDescent="0.35">
      <c r="B13" s="25" t="s">
        <v>16</v>
      </c>
      <c r="C13" s="5">
        <v>173935552</v>
      </c>
      <c r="D13" s="7">
        <v>110675</v>
      </c>
      <c r="E13" s="53" t="s">
        <v>7</v>
      </c>
    </row>
    <row r="14" spans="2:5" x14ac:dyDescent="0.35">
      <c r="B14" s="23" t="s">
        <v>17</v>
      </c>
      <c r="C14" s="5" t="s">
        <v>18</v>
      </c>
      <c r="D14" s="9">
        <v>80212</v>
      </c>
      <c r="E14" s="53" t="s">
        <v>7</v>
      </c>
    </row>
    <row r="15" spans="2:5" x14ac:dyDescent="0.35">
      <c r="B15" s="25" t="s">
        <v>19</v>
      </c>
      <c r="C15" s="5">
        <v>175308556</v>
      </c>
      <c r="D15" s="7">
        <v>12578</v>
      </c>
      <c r="E15" s="53" t="s">
        <v>7</v>
      </c>
    </row>
    <row r="16" spans="2:5" x14ac:dyDescent="0.35">
      <c r="B16" s="25" t="s">
        <v>20</v>
      </c>
      <c r="C16" s="5">
        <v>195446828</v>
      </c>
      <c r="D16" s="7">
        <v>7039</v>
      </c>
      <c r="E16" s="53" t="s">
        <v>7</v>
      </c>
    </row>
    <row r="17" spans="2:5" x14ac:dyDescent="0.35">
      <c r="B17" s="25" t="s">
        <v>21</v>
      </c>
      <c r="C17" s="5">
        <v>32402869</v>
      </c>
      <c r="D17" s="7">
        <v>14969</v>
      </c>
      <c r="E17" s="53" t="s">
        <v>22</v>
      </c>
    </row>
    <row r="18" spans="2:5" x14ac:dyDescent="0.35">
      <c r="B18" s="25" t="s">
        <v>23</v>
      </c>
      <c r="C18" s="5">
        <v>177180906</v>
      </c>
      <c r="D18" s="7">
        <v>54559</v>
      </c>
      <c r="E18" s="53" t="s">
        <v>7</v>
      </c>
    </row>
    <row r="19" spans="2:5" x14ac:dyDescent="0.35">
      <c r="B19" s="25" t="s">
        <v>24</v>
      </c>
      <c r="C19" s="5">
        <v>178110639</v>
      </c>
      <c r="D19" s="7">
        <v>52476</v>
      </c>
      <c r="E19" s="53" t="s">
        <v>7</v>
      </c>
    </row>
    <row r="20" spans="2:5" x14ac:dyDescent="0.35">
      <c r="B20" s="25" t="s">
        <v>25</v>
      </c>
      <c r="C20" s="5">
        <v>179653007</v>
      </c>
      <c r="D20" s="7">
        <v>52675</v>
      </c>
      <c r="E20" s="53" t="s">
        <v>7</v>
      </c>
    </row>
    <row r="21" spans="2:5" x14ac:dyDescent="0.35">
      <c r="B21" s="23" t="s">
        <v>26</v>
      </c>
      <c r="C21" s="5">
        <v>176331642</v>
      </c>
      <c r="D21" s="9">
        <v>140553</v>
      </c>
      <c r="E21" s="53" t="s">
        <v>7</v>
      </c>
    </row>
    <row r="22" spans="2:5" x14ac:dyDescent="0.35">
      <c r="B22" s="25" t="s">
        <v>27</v>
      </c>
      <c r="C22" s="5">
        <v>181063551</v>
      </c>
      <c r="D22" s="7">
        <v>162913</v>
      </c>
      <c r="E22" s="53" t="s">
        <v>7</v>
      </c>
    </row>
    <row r="23" spans="2:5" x14ac:dyDescent="0.35">
      <c r="B23" s="25" t="s">
        <v>28</v>
      </c>
      <c r="C23" s="5">
        <v>179805304</v>
      </c>
      <c r="D23" s="7">
        <v>210758</v>
      </c>
      <c r="E23" s="53" t="s">
        <v>29</v>
      </c>
    </row>
    <row r="24" spans="2:5" x14ac:dyDescent="0.35">
      <c r="B24" s="25" t="s">
        <v>30</v>
      </c>
      <c r="C24" s="5">
        <v>161712833</v>
      </c>
      <c r="D24" s="7">
        <v>323882</v>
      </c>
      <c r="E24" s="53" t="s">
        <v>5</v>
      </c>
    </row>
    <row r="25" spans="2:5" x14ac:dyDescent="0.35">
      <c r="B25" s="25" t="s">
        <v>31</v>
      </c>
      <c r="C25" s="5">
        <v>163611201</v>
      </c>
      <c r="D25" s="7">
        <v>399182</v>
      </c>
      <c r="E25" s="53" t="s">
        <v>5</v>
      </c>
    </row>
    <row r="26" spans="2:5" x14ac:dyDescent="0.35">
      <c r="B26" s="25" t="s">
        <v>32</v>
      </c>
      <c r="C26" s="5">
        <v>195243955</v>
      </c>
      <c r="D26" s="7">
        <v>6809</v>
      </c>
      <c r="E26" s="53" t="s">
        <v>7</v>
      </c>
    </row>
    <row r="27" spans="2:5" x14ac:dyDescent="0.35">
      <c r="B27" s="25" t="s">
        <v>33</v>
      </c>
      <c r="C27" s="5">
        <v>178973909</v>
      </c>
      <c r="D27" s="7">
        <v>196153</v>
      </c>
      <c r="E27" s="53" t="s">
        <v>7</v>
      </c>
    </row>
    <row r="28" spans="2:5" x14ac:dyDescent="0.35">
      <c r="B28" s="25" t="s">
        <v>34</v>
      </c>
      <c r="C28" s="5">
        <v>37059203</v>
      </c>
      <c r="D28" s="7">
        <v>18915</v>
      </c>
      <c r="E28" s="53" t="s">
        <v>5</v>
      </c>
    </row>
    <row r="29" spans="2:5" x14ac:dyDescent="0.35">
      <c r="B29" s="25" t="s">
        <v>35</v>
      </c>
      <c r="C29" s="5">
        <v>143714950</v>
      </c>
      <c r="D29" s="7">
        <v>5202</v>
      </c>
      <c r="E29" s="53" t="s">
        <v>29</v>
      </c>
    </row>
    <row r="30" spans="2:5" x14ac:dyDescent="0.35">
      <c r="B30" s="25" t="s">
        <v>36</v>
      </c>
      <c r="C30" s="5">
        <v>178503900</v>
      </c>
      <c r="D30" s="7">
        <v>6339</v>
      </c>
      <c r="E30" s="53" t="s">
        <v>7</v>
      </c>
    </row>
    <row r="31" spans="2:5" x14ac:dyDescent="0.35">
      <c r="B31" s="25" t="s">
        <v>37</v>
      </c>
      <c r="C31" s="5">
        <v>175108315</v>
      </c>
      <c r="D31" s="7">
        <v>46075</v>
      </c>
      <c r="E31" s="53" t="s">
        <v>7</v>
      </c>
    </row>
    <row r="32" spans="2:5" x14ac:dyDescent="0.35">
      <c r="B32" s="25" t="s">
        <v>38</v>
      </c>
      <c r="C32" s="5">
        <v>171311998</v>
      </c>
      <c r="D32" s="7">
        <v>289434</v>
      </c>
      <c r="E32" s="53" t="s">
        <v>5</v>
      </c>
    </row>
    <row r="33" spans="2:5" x14ac:dyDescent="0.35">
      <c r="B33" s="25" t="s">
        <v>39</v>
      </c>
      <c r="C33" s="5">
        <v>188663791</v>
      </c>
      <c r="D33" s="7">
        <v>99151</v>
      </c>
      <c r="E33" s="53" t="s">
        <v>7</v>
      </c>
    </row>
    <row r="34" spans="2:5" x14ac:dyDescent="0.35">
      <c r="B34" s="25" t="s">
        <v>40</v>
      </c>
      <c r="C34" s="5">
        <v>175557707</v>
      </c>
      <c r="D34" s="7">
        <v>85551</v>
      </c>
      <c r="E34" s="53" t="s">
        <v>7</v>
      </c>
    </row>
    <row r="35" spans="2:5" x14ac:dyDescent="0.35">
      <c r="B35" s="25" t="s">
        <v>41</v>
      </c>
      <c r="C35" s="5">
        <v>169225115</v>
      </c>
      <c r="D35" s="7">
        <v>195483</v>
      </c>
      <c r="E35" s="53" t="s">
        <v>5</v>
      </c>
    </row>
    <row r="36" spans="2:5" x14ac:dyDescent="0.35">
      <c r="B36" s="25" t="s">
        <v>42</v>
      </c>
      <c r="C36" s="5">
        <v>177343250</v>
      </c>
      <c r="D36" s="7">
        <v>119129</v>
      </c>
      <c r="E36" s="53" t="s">
        <v>7</v>
      </c>
    </row>
    <row r="37" spans="2:5" x14ac:dyDescent="0.35">
      <c r="B37" s="25" t="s">
        <v>43</v>
      </c>
      <c r="C37" s="5">
        <v>179287208</v>
      </c>
      <c r="D37" s="7">
        <v>15399</v>
      </c>
      <c r="E37" s="53" t="s">
        <v>7</v>
      </c>
    </row>
    <row r="38" spans="2:5" x14ac:dyDescent="0.35">
      <c r="B38" s="25" t="s">
        <v>44</v>
      </c>
      <c r="C38" s="5">
        <v>177082631</v>
      </c>
      <c r="D38" s="7">
        <v>92178</v>
      </c>
      <c r="E38" s="53" t="s">
        <v>7</v>
      </c>
    </row>
    <row r="39" spans="2:5" x14ac:dyDescent="0.35">
      <c r="B39" s="25" t="s">
        <v>45</v>
      </c>
      <c r="C39" s="5">
        <v>196656100</v>
      </c>
      <c r="D39" s="7">
        <v>40938</v>
      </c>
      <c r="E39" s="53" t="s">
        <v>5</v>
      </c>
    </row>
    <row r="40" spans="2:5" x14ac:dyDescent="0.35">
      <c r="B40" s="25" t="s">
        <v>46</v>
      </c>
      <c r="C40" s="5">
        <v>171108541</v>
      </c>
      <c r="D40" s="7">
        <v>395543</v>
      </c>
      <c r="E40" s="53" t="s">
        <v>5</v>
      </c>
    </row>
    <row r="41" spans="2:5" x14ac:dyDescent="0.35">
      <c r="B41" s="25" t="s">
        <v>47</v>
      </c>
      <c r="C41" s="5">
        <v>178244580</v>
      </c>
      <c r="D41" s="7">
        <v>191402</v>
      </c>
      <c r="E41" s="53" t="s">
        <v>7</v>
      </c>
    </row>
    <row r="42" spans="2:5" x14ac:dyDescent="0.35">
      <c r="B42" s="25" t="s">
        <v>48</v>
      </c>
      <c r="C42" s="5">
        <v>178921567</v>
      </c>
      <c r="D42" s="7">
        <v>33232</v>
      </c>
      <c r="E42" s="53" t="s">
        <v>7</v>
      </c>
    </row>
    <row r="43" spans="2:5" x14ac:dyDescent="0.35">
      <c r="B43" s="25" t="s">
        <v>49</v>
      </c>
      <c r="C43" s="5">
        <v>179233772</v>
      </c>
      <c r="D43" s="7">
        <v>30248</v>
      </c>
      <c r="E43" s="53" t="s">
        <v>7</v>
      </c>
    </row>
    <row r="44" spans="2:5" x14ac:dyDescent="0.35">
      <c r="B44" s="25" t="s">
        <v>50</v>
      </c>
      <c r="C44" s="5">
        <v>178207538</v>
      </c>
      <c r="D44" s="7">
        <v>117961</v>
      </c>
      <c r="E44" s="53" t="s">
        <v>7</v>
      </c>
    </row>
    <row r="45" spans="2:5" x14ac:dyDescent="0.35">
      <c r="B45" s="25" t="s">
        <v>51</v>
      </c>
      <c r="C45" s="5">
        <v>44634887</v>
      </c>
      <c r="D45" s="7">
        <v>4813</v>
      </c>
      <c r="E45" s="53" t="s">
        <v>52</v>
      </c>
    </row>
    <row r="46" spans="2:5" x14ac:dyDescent="0.35">
      <c r="B46" s="25" t="s">
        <v>53</v>
      </c>
      <c r="C46" s="5">
        <v>175565308</v>
      </c>
      <c r="D46" s="7">
        <v>74585</v>
      </c>
      <c r="E46" s="53" t="s">
        <v>7</v>
      </c>
    </row>
    <row r="47" spans="2:5" x14ac:dyDescent="0.35">
      <c r="B47" s="25" t="s">
        <v>54</v>
      </c>
      <c r="C47" s="5">
        <v>162116097</v>
      </c>
      <c r="D47" s="7">
        <v>165622</v>
      </c>
      <c r="E47" s="53" t="s">
        <v>5</v>
      </c>
    </row>
    <row r="48" spans="2:5" x14ac:dyDescent="0.35">
      <c r="B48" s="25" t="s">
        <v>55</v>
      </c>
      <c r="C48" s="5">
        <v>177981364</v>
      </c>
      <c r="D48" s="7">
        <v>16116</v>
      </c>
      <c r="E48" s="53" t="s">
        <v>7</v>
      </c>
    </row>
    <row r="49" spans="2:5" x14ac:dyDescent="0.35">
      <c r="B49" s="23" t="s">
        <v>56</v>
      </c>
      <c r="C49" s="5" t="s">
        <v>57</v>
      </c>
      <c r="D49" s="9">
        <v>231376</v>
      </c>
      <c r="E49" s="53" t="s">
        <v>7</v>
      </c>
    </row>
    <row r="50" spans="2:5" x14ac:dyDescent="0.35">
      <c r="B50" s="25" t="s">
        <v>58</v>
      </c>
      <c r="C50" s="5">
        <v>175501683</v>
      </c>
      <c r="D50" s="7">
        <v>260130</v>
      </c>
      <c r="E50" s="53" t="s">
        <v>7</v>
      </c>
    </row>
    <row r="51" spans="2:5" x14ac:dyDescent="0.35">
      <c r="B51" s="25" t="s">
        <v>59</v>
      </c>
      <c r="C51" s="5">
        <v>178633077</v>
      </c>
      <c r="D51" s="7">
        <v>54121</v>
      </c>
      <c r="E51" s="53" t="s">
        <v>7</v>
      </c>
    </row>
    <row r="52" spans="2:5" x14ac:dyDescent="0.35">
      <c r="B52" s="25" t="s">
        <v>60</v>
      </c>
      <c r="C52" s="5">
        <v>177360847</v>
      </c>
      <c r="D52" s="7">
        <v>96697</v>
      </c>
      <c r="E52" s="53" t="s">
        <v>7</v>
      </c>
    </row>
    <row r="53" spans="2:5" x14ac:dyDescent="0.35">
      <c r="B53" s="25" t="s">
        <v>61</v>
      </c>
      <c r="C53" s="5">
        <v>46427589</v>
      </c>
      <c r="D53" s="7">
        <v>21623</v>
      </c>
      <c r="E53" s="53" t="s">
        <v>5</v>
      </c>
    </row>
    <row r="54" spans="2:5" x14ac:dyDescent="0.35">
      <c r="B54" s="25" t="s">
        <v>62</v>
      </c>
      <c r="C54" s="5">
        <v>195362344</v>
      </c>
      <c r="D54" s="7">
        <v>39414</v>
      </c>
      <c r="E54" s="53" t="s">
        <v>7</v>
      </c>
    </row>
    <row r="55" spans="2:5" x14ac:dyDescent="0.35">
      <c r="B55" s="25" t="s">
        <v>63</v>
      </c>
      <c r="C55" s="5">
        <v>177887029</v>
      </c>
      <c r="D55" s="7">
        <v>41850</v>
      </c>
      <c r="E55" s="53" t="s">
        <v>7</v>
      </c>
    </row>
    <row r="56" spans="2:5" x14ac:dyDescent="0.35">
      <c r="B56" s="25" t="s">
        <v>64</v>
      </c>
      <c r="C56" s="5">
        <v>177358757</v>
      </c>
      <c r="D56" s="7">
        <v>19319</v>
      </c>
      <c r="E56" s="53" t="s">
        <v>7</v>
      </c>
    </row>
    <row r="57" spans="2:5" x14ac:dyDescent="0.35">
      <c r="B57" s="25" t="s">
        <v>65</v>
      </c>
      <c r="C57" s="5">
        <v>178568816</v>
      </c>
      <c r="D57" s="7">
        <v>293518</v>
      </c>
      <c r="E57" s="53" t="s">
        <v>7</v>
      </c>
    </row>
    <row r="58" spans="2:5" x14ac:dyDescent="0.35">
      <c r="B58" s="25" t="s">
        <v>66</v>
      </c>
      <c r="C58" s="5">
        <v>177887219</v>
      </c>
      <c r="D58" s="7">
        <v>22038</v>
      </c>
      <c r="E58" s="53" t="s">
        <v>7</v>
      </c>
    </row>
    <row r="59" spans="2:5" x14ac:dyDescent="0.35">
      <c r="B59" s="25" t="s">
        <v>67</v>
      </c>
      <c r="C59" s="5">
        <v>168571669</v>
      </c>
      <c r="D59" s="7">
        <v>470508</v>
      </c>
      <c r="E59" s="53" t="s">
        <v>5</v>
      </c>
    </row>
    <row r="60" spans="2:5" x14ac:dyDescent="0.35">
      <c r="B60" s="23" t="s">
        <v>68</v>
      </c>
      <c r="C60" s="5">
        <v>205382948</v>
      </c>
      <c r="D60" s="9">
        <v>14737</v>
      </c>
      <c r="E60" s="53" t="s">
        <v>7</v>
      </c>
    </row>
    <row r="61" spans="2:5" x14ac:dyDescent="0.35">
      <c r="B61" s="25" t="s">
        <v>69</v>
      </c>
      <c r="C61" s="5">
        <v>173694355</v>
      </c>
      <c r="D61" s="7">
        <v>13144</v>
      </c>
      <c r="E61" s="53" t="s">
        <v>7</v>
      </c>
    </row>
    <row r="62" spans="2:5" x14ac:dyDescent="0.35">
      <c r="B62" s="25" t="s">
        <v>70</v>
      </c>
      <c r="C62" s="5">
        <v>191783002</v>
      </c>
      <c r="D62" s="7">
        <v>14850</v>
      </c>
      <c r="E62" s="53" t="s">
        <v>7</v>
      </c>
    </row>
    <row r="63" spans="2:5" x14ac:dyDescent="0.35">
      <c r="B63" s="25" t="s">
        <v>71</v>
      </c>
      <c r="C63" s="5">
        <v>177441575</v>
      </c>
      <c r="D63" s="7">
        <v>19</v>
      </c>
      <c r="E63" s="53" t="s">
        <v>72</v>
      </c>
    </row>
    <row r="64" spans="2:5" x14ac:dyDescent="0.35">
      <c r="B64" s="25" t="s">
        <v>73</v>
      </c>
      <c r="C64" s="5">
        <v>179227257</v>
      </c>
      <c r="D64" s="7">
        <v>66193</v>
      </c>
      <c r="E64" s="53" t="s">
        <v>7</v>
      </c>
    </row>
    <row r="65" spans="2:5" x14ac:dyDescent="0.35">
      <c r="B65" s="23" t="s">
        <v>74</v>
      </c>
      <c r="C65" s="5" t="s">
        <v>75</v>
      </c>
      <c r="D65" s="7">
        <v>22030</v>
      </c>
      <c r="E65" s="53" t="s">
        <v>7</v>
      </c>
    </row>
    <row r="66" spans="2:5" x14ac:dyDescent="0.35">
      <c r="B66" s="23" t="s">
        <v>76</v>
      </c>
      <c r="C66" s="5" t="s">
        <v>77</v>
      </c>
      <c r="D66" s="7">
        <v>1157.21</v>
      </c>
      <c r="E66" s="53" t="s">
        <v>72</v>
      </c>
    </row>
    <row r="67" spans="2:5" x14ac:dyDescent="0.35">
      <c r="B67" s="25" t="s">
        <v>78</v>
      </c>
      <c r="C67" s="5">
        <v>178503603</v>
      </c>
      <c r="D67" s="7">
        <v>1245</v>
      </c>
      <c r="E67" s="53" t="s">
        <v>79</v>
      </c>
    </row>
    <row r="68" spans="2:5" x14ac:dyDescent="0.35">
      <c r="B68" s="23" t="s">
        <v>80</v>
      </c>
      <c r="C68" s="5" t="s">
        <v>81</v>
      </c>
      <c r="D68" s="7">
        <v>15994</v>
      </c>
      <c r="E68" s="53" t="s">
        <v>5</v>
      </c>
    </row>
    <row r="69" spans="2:5" x14ac:dyDescent="0.35">
      <c r="B69" s="23" t="s">
        <v>82</v>
      </c>
      <c r="C69" s="5">
        <v>175811049</v>
      </c>
      <c r="D69" s="7">
        <v>16608</v>
      </c>
      <c r="E69" s="53" t="s">
        <v>7</v>
      </c>
    </row>
    <row r="70" spans="2:5" x14ac:dyDescent="0.35">
      <c r="B70" s="25" t="s">
        <v>83</v>
      </c>
      <c r="C70" s="5">
        <v>160325385</v>
      </c>
      <c r="D70" s="7">
        <v>107151</v>
      </c>
      <c r="E70" s="53" t="s">
        <v>5</v>
      </c>
    </row>
    <row r="71" spans="2:5" x14ac:dyDescent="0.35">
      <c r="B71" s="25" t="s">
        <v>84</v>
      </c>
      <c r="C71" s="5">
        <v>174988980</v>
      </c>
      <c r="D71" s="7">
        <v>242441</v>
      </c>
      <c r="E71" s="53" t="s">
        <v>7</v>
      </c>
    </row>
    <row r="72" spans="2:5" x14ac:dyDescent="0.35">
      <c r="B72" s="23" t="s">
        <v>85</v>
      </c>
      <c r="C72" s="5">
        <v>169036686</v>
      </c>
      <c r="D72" s="7">
        <v>104057</v>
      </c>
      <c r="E72" s="53" t="s">
        <v>5</v>
      </c>
    </row>
    <row r="73" spans="2:5" x14ac:dyDescent="0.35">
      <c r="B73" s="25" t="s">
        <v>86</v>
      </c>
      <c r="C73" s="5">
        <v>177899913</v>
      </c>
      <c r="D73" s="7">
        <v>10545</v>
      </c>
      <c r="E73" s="53" t="s">
        <v>7</v>
      </c>
    </row>
    <row r="74" spans="2:5" x14ac:dyDescent="0.35">
      <c r="B74" s="25" t="s">
        <v>87</v>
      </c>
      <c r="C74" s="5">
        <v>171355551</v>
      </c>
      <c r="D74" s="7">
        <v>253087</v>
      </c>
      <c r="E74" s="53" t="s">
        <v>5</v>
      </c>
    </row>
    <row r="75" spans="2:5" x14ac:dyDescent="0.35">
      <c r="B75" s="25" t="s">
        <v>88</v>
      </c>
      <c r="C75" s="5">
        <v>190793135</v>
      </c>
      <c r="D75" s="7">
        <v>441441</v>
      </c>
      <c r="E75" s="53" t="s">
        <v>7</v>
      </c>
    </row>
    <row r="76" spans="2:5" x14ac:dyDescent="0.35">
      <c r="B76" s="25" t="s">
        <v>89</v>
      </c>
      <c r="C76" s="5">
        <v>177740582</v>
      </c>
      <c r="D76" s="7">
        <v>13278</v>
      </c>
      <c r="E76" s="53" t="s">
        <v>90</v>
      </c>
    </row>
    <row r="77" spans="2:5" x14ac:dyDescent="0.35">
      <c r="B77" s="25" t="s">
        <v>91</v>
      </c>
      <c r="C77" s="5">
        <v>178319339</v>
      </c>
      <c r="D77" s="7">
        <v>25384</v>
      </c>
      <c r="E77" s="53" t="s">
        <v>7</v>
      </c>
    </row>
    <row r="78" spans="2:5" x14ac:dyDescent="0.35">
      <c r="B78" s="25" t="s">
        <v>92</v>
      </c>
      <c r="C78" s="5">
        <v>196423426</v>
      </c>
      <c r="D78" s="7">
        <v>167601</v>
      </c>
      <c r="E78" s="53" t="s">
        <v>7</v>
      </c>
    </row>
    <row r="79" spans="2:5" x14ac:dyDescent="0.35">
      <c r="B79" s="25" t="s">
        <v>93</v>
      </c>
      <c r="C79" s="5">
        <v>174188272</v>
      </c>
      <c r="D79" s="7">
        <v>12804</v>
      </c>
      <c r="E79" s="53" t="s">
        <v>7</v>
      </c>
    </row>
    <row r="80" spans="2:5" x14ac:dyDescent="0.35">
      <c r="B80" s="25" t="s">
        <v>94</v>
      </c>
      <c r="C80" s="5">
        <v>175557400</v>
      </c>
      <c r="D80" s="7">
        <v>16320</v>
      </c>
      <c r="E80" s="53" t="s">
        <v>7</v>
      </c>
    </row>
    <row r="81" spans="2:5" x14ac:dyDescent="0.35">
      <c r="B81" s="25" t="s">
        <v>95</v>
      </c>
      <c r="C81" s="5">
        <v>175518020</v>
      </c>
      <c r="D81" s="7">
        <v>209310</v>
      </c>
      <c r="E81" s="53" t="s">
        <v>7</v>
      </c>
    </row>
    <row r="82" spans="2:5" x14ac:dyDescent="0.35">
      <c r="B82" s="25" t="s">
        <v>96</v>
      </c>
      <c r="C82" s="5">
        <v>178334779</v>
      </c>
      <c r="D82" s="7">
        <v>3730</v>
      </c>
      <c r="E82" s="53" t="s">
        <v>7</v>
      </c>
    </row>
    <row r="83" spans="2:5" x14ac:dyDescent="0.35">
      <c r="B83" s="25" t="s">
        <v>97</v>
      </c>
      <c r="C83" s="5">
        <v>178520276</v>
      </c>
      <c r="D83" s="7">
        <v>37257</v>
      </c>
      <c r="E83" s="53" t="s">
        <v>7</v>
      </c>
    </row>
    <row r="84" spans="2:5" x14ac:dyDescent="0.35">
      <c r="B84" s="25" t="s">
        <v>98</v>
      </c>
      <c r="C84" s="5">
        <v>179227661</v>
      </c>
      <c r="D84" s="7">
        <v>10084</v>
      </c>
      <c r="E84" s="53" t="s">
        <v>7</v>
      </c>
    </row>
    <row r="85" spans="2:5" x14ac:dyDescent="0.35">
      <c r="B85" s="25" t="s">
        <v>99</v>
      </c>
      <c r="C85" s="5">
        <v>175304684</v>
      </c>
      <c r="D85" s="7">
        <v>120382</v>
      </c>
      <c r="E85" s="53" t="s">
        <v>7</v>
      </c>
    </row>
    <row r="86" spans="2:5" x14ac:dyDescent="0.35">
      <c r="B86" s="25" t="s">
        <v>100</v>
      </c>
      <c r="C86" s="5">
        <v>178719589</v>
      </c>
      <c r="D86" s="7">
        <v>45459</v>
      </c>
      <c r="E86" s="53" t="s">
        <v>7</v>
      </c>
    </row>
    <row r="87" spans="2:5" x14ac:dyDescent="0.35">
      <c r="B87" s="25" t="s">
        <v>101</v>
      </c>
      <c r="C87" s="5">
        <v>177316118</v>
      </c>
      <c r="D87" s="7">
        <v>4333</v>
      </c>
      <c r="E87" s="53" t="s">
        <v>7</v>
      </c>
    </row>
    <row r="88" spans="2:5" x14ac:dyDescent="0.35">
      <c r="B88" s="25" t="s">
        <v>102</v>
      </c>
      <c r="C88" s="5">
        <v>195333246</v>
      </c>
      <c r="D88" s="7">
        <v>318507</v>
      </c>
      <c r="E88" s="53" t="s">
        <v>103</v>
      </c>
    </row>
    <row r="89" spans="2:5" x14ac:dyDescent="0.35">
      <c r="B89" s="25" t="s">
        <v>104</v>
      </c>
      <c r="C89" s="5">
        <v>188144156</v>
      </c>
      <c r="D89" s="7">
        <v>118461</v>
      </c>
      <c r="E89" s="53" t="s">
        <v>7</v>
      </c>
    </row>
    <row r="90" spans="2:5" x14ac:dyDescent="0.35">
      <c r="B90" s="23" t="s">
        <v>105</v>
      </c>
      <c r="C90" s="5">
        <v>197443035</v>
      </c>
      <c r="D90" s="7">
        <v>9688</v>
      </c>
      <c r="E90" s="53" t="s">
        <v>7</v>
      </c>
    </row>
    <row r="91" spans="2:5" x14ac:dyDescent="0.35">
      <c r="B91" s="23" t="s">
        <v>106</v>
      </c>
      <c r="C91" s="5">
        <v>175647692</v>
      </c>
      <c r="D91" s="7">
        <v>12648</v>
      </c>
      <c r="E91" s="53" t="s">
        <v>7</v>
      </c>
    </row>
    <row r="92" spans="2:5" x14ac:dyDescent="0.35">
      <c r="B92" s="25" t="s">
        <v>107</v>
      </c>
      <c r="C92" s="5">
        <v>188985121</v>
      </c>
      <c r="D92" s="7">
        <v>69785</v>
      </c>
      <c r="E92" s="53" t="s">
        <v>7</v>
      </c>
    </row>
    <row r="93" spans="2:5" x14ac:dyDescent="0.35">
      <c r="B93" s="23" t="s">
        <v>108</v>
      </c>
      <c r="C93" s="5">
        <v>177437532</v>
      </c>
      <c r="D93" s="9">
        <v>22097</v>
      </c>
      <c r="E93" s="53" t="s">
        <v>7</v>
      </c>
    </row>
    <row r="94" spans="2:5" x14ac:dyDescent="0.35">
      <c r="B94" s="25" t="s">
        <v>109</v>
      </c>
      <c r="C94" s="5">
        <v>178105884</v>
      </c>
      <c r="D94" s="7">
        <v>130358</v>
      </c>
      <c r="E94" s="53" t="s">
        <v>103</v>
      </c>
    </row>
    <row r="95" spans="2:5" x14ac:dyDescent="0.35">
      <c r="B95" s="25" t="s">
        <v>110</v>
      </c>
      <c r="C95" s="5">
        <v>178808861</v>
      </c>
      <c r="D95" s="7">
        <v>48720</v>
      </c>
      <c r="E95" s="53" t="s">
        <v>7</v>
      </c>
    </row>
    <row r="96" spans="2:5" x14ac:dyDescent="0.35">
      <c r="B96" s="25" t="s">
        <v>111</v>
      </c>
      <c r="C96" s="5">
        <v>178554952</v>
      </c>
      <c r="D96" s="7">
        <v>344628</v>
      </c>
      <c r="E96" s="53" t="s">
        <v>7</v>
      </c>
    </row>
    <row r="97" spans="2:5" x14ac:dyDescent="0.35">
      <c r="B97" s="25" t="s">
        <v>112</v>
      </c>
      <c r="C97" s="5">
        <v>175350562</v>
      </c>
      <c r="D97" s="7">
        <v>144984</v>
      </c>
      <c r="E97" s="53" t="s">
        <v>7</v>
      </c>
    </row>
    <row r="98" spans="2:5" x14ac:dyDescent="0.35">
      <c r="B98" s="25" t="s">
        <v>113</v>
      </c>
      <c r="C98" s="5">
        <v>181063340</v>
      </c>
      <c r="D98" s="7">
        <v>101382</v>
      </c>
      <c r="E98" s="53" t="s">
        <v>7</v>
      </c>
    </row>
    <row r="99" spans="2:5" x14ac:dyDescent="0.35">
      <c r="B99" s="25" t="s">
        <v>114</v>
      </c>
      <c r="C99" s="5">
        <v>191657162</v>
      </c>
      <c r="D99" s="7">
        <v>196236</v>
      </c>
      <c r="E99" s="53" t="s">
        <v>7</v>
      </c>
    </row>
    <row r="100" spans="2:5" x14ac:dyDescent="0.35">
      <c r="B100" s="25" t="s">
        <v>115</v>
      </c>
      <c r="C100" s="5">
        <v>166615310</v>
      </c>
      <c r="D100" s="7">
        <v>56514</v>
      </c>
      <c r="E100" s="53" t="s">
        <v>5</v>
      </c>
    </row>
    <row r="101" spans="2:5" x14ac:dyDescent="0.35">
      <c r="B101" s="25" t="s">
        <v>116</v>
      </c>
      <c r="C101" s="5">
        <v>179807383</v>
      </c>
      <c r="D101" s="7">
        <v>398724</v>
      </c>
      <c r="E101" s="53" t="s">
        <v>7</v>
      </c>
    </row>
    <row r="102" spans="2:5" x14ac:dyDescent="0.35">
      <c r="B102" s="25" t="s">
        <v>117</v>
      </c>
      <c r="C102" s="5">
        <v>193483126</v>
      </c>
      <c r="D102" s="7">
        <v>270280</v>
      </c>
      <c r="E102" s="53" t="s">
        <v>7</v>
      </c>
    </row>
    <row r="103" spans="2:5" ht="16" x14ac:dyDescent="0.4">
      <c r="B103" s="26" t="s">
        <v>118</v>
      </c>
      <c r="C103" s="5">
        <v>178920728</v>
      </c>
      <c r="D103" s="9">
        <v>12393</v>
      </c>
      <c r="E103" s="53" t="s">
        <v>119</v>
      </c>
    </row>
    <row r="104" spans="2:5" x14ac:dyDescent="0.35">
      <c r="B104" s="25" t="s">
        <v>120</v>
      </c>
      <c r="C104" s="5">
        <v>178577078</v>
      </c>
      <c r="D104" s="7">
        <v>458103</v>
      </c>
      <c r="E104" s="53" t="s">
        <v>7</v>
      </c>
    </row>
    <row r="105" spans="2:5" x14ac:dyDescent="0.35">
      <c r="B105" s="23" t="s">
        <v>121</v>
      </c>
      <c r="C105" s="5">
        <v>33310178</v>
      </c>
      <c r="D105" s="9">
        <v>21886</v>
      </c>
      <c r="E105" s="53" t="s">
        <v>7</v>
      </c>
    </row>
    <row r="106" spans="2:5" x14ac:dyDescent="0.35">
      <c r="B106" s="25" t="s">
        <v>122</v>
      </c>
      <c r="C106" s="5">
        <v>158815399</v>
      </c>
      <c r="D106" s="7">
        <v>3391</v>
      </c>
      <c r="E106" s="53" t="s">
        <v>5</v>
      </c>
    </row>
    <row r="107" spans="2:5" x14ac:dyDescent="0.35">
      <c r="B107" s="25" t="s">
        <v>123</v>
      </c>
      <c r="C107" s="5">
        <v>178642672</v>
      </c>
      <c r="D107" s="7">
        <v>27810</v>
      </c>
      <c r="E107" s="53" t="s">
        <v>7</v>
      </c>
    </row>
    <row r="108" spans="2:5" x14ac:dyDescent="0.35">
      <c r="B108" s="25" t="s">
        <v>124</v>
      </c>
      <c r="C108" s="5">
        <v>177271493</v>
      </c>
      <c r="D108" s="7">
        <v>73477</v>
      </c>
      <c r="E108" s="53" t="s">
        <v>7</v>
      </c>
    </row>
    <row r="109" spans="2:5" x14ac:dyDescent="0.35">
      <c r="B109" s="25" t="s">
        <v>125</v>
      </c>
      <c r="C109" s="5">
        <v>177357912</v>
      </c>
      <c r="D109" s="7">
        <v>29135</v>
      </c>
      <c r="E109" s="53" t="s">
        <v>7</v>
      </c>
    </row>
    <row r="110" spans="2:5" ht="16" x14ac:dyDescent="0.4">
      <c r="B110" s="26" t="s">
        <v>126</v>
      </c>
      <c r="C110" s="5">
        <v>179233871</v>
      </c>
      <c r="D110" s="9">
        <v>5432</v>
      </c>
      <c r="E110" s="53" t="s">
        <v>7</v>
      </c>
    </row>
    <row r="111" spans="2:5" x14ac:dyDescent="0.35">
      <c r="B111" s="25" t="s">
        <v>127</v>
      </c>
      <c r="C111" s="5">
        <v>195906712</v>
      </c>
      <c r="D111" s="7">
        <v>119786</v>
      </c>
      <c r="E111" s="53" t="s">
        <v>7</v>
      </c>
    </row>
    <row r="112" spans="2:5" ht="16" x14ac:dyDescent="0.4">
      <c r="B112" s="26" t="s">
        <v>128</v>
      </c>
      <c r="C112" s="5">
        <v>20441713</v>
      </c>
      <c r="D112" s="9">
        <v>31726.5</v>
      </c>
      <c r="E112" s="53" t="s">
        <v>5</v>
      </c>
    </row>
    <row r="113" spans="2:5" x14ac:dyDescent="0.35">
      <c r="B113" s="25" t="s">
        <v>129</v>
      </c>
      <c r="C113" s="5">
        <v>178254817</v>
      </c>
      <c r="D113" s="7">
        <v>37363</v>
      </c>
      <c r="E113" s="53" t="s">
        <v>7</v>
      </c>
    </row>
    <row r="114" spans="2:5" x14ac:dyDescent="0.35">
      <c r="B114" s="25" t="s">
        <v>130</v>
      </c>
      <c r="C114" s="5">
        <v>177172774</v>
      </c>
      <c r="D114" s="7">
        <v>56157</v>
      </c>
      <c r="E114" s="53" t="s">
        <v>7</v>
      </c>
    </row>
    <row r="115" spans="2:5" x14ac:dyDescent="0.35">
      <c r="B115" s="25" t="s">
        <v>131</v>
      </c>
      <c r="C115" s="5">
        <v>178255028</v>
      </c>
      <c r="D115" s="7">
        <v>110553</v>
      </c>
      <c r="E115" s="53" t="s">
        <v>7</v>
      </c>
    </row>
    <row r="116" spans="2:5" x14ac:dyDescent="0.35">
      <c r="B116" s="25" t="s">
        <v>132</v>
      </c>
      <c r="C116" s="5">
        <v>177468543</v>
      </c>
      <c r="D116" s="7">
        <v>115183</v>
      </c>
      <c r="E116" s="53" t="s">
        <v>7</v>
      </c>
    </row>
    <row r="117" spans="2:5" x14ac:dyDescent="0.35">
      <c r="B117" s="25" t="s">
        <v>133</v>
      </c>
      <c r="C117" s="5">
        <v>177995685</v>
      </c>
      <c r="D117" s="7">
        <v>21263</v>
      </c>
      <c r="E117" s="53" t="s">
        <v>7</v>
      </c>
    </row>
    <row r="118" spans="2:5" x14ac:dyDescent="0.35">
      <c r="B118" s="23" t="s">
        <v>134</v>
      </c>
      <c r="C118" s="5">
        <v>177042247</v>
      </c>
      <c r="D118" s="9">
        <v>75640</v>
      </c>
      <c r="E118" s="53" t="s">
        <v>7</v>
      </c>
    </row>
    <row r="119" spans="2:5" x14ac:dyDescent="0.35">
      <c r="B119" s="25" t="s">
        <v>135</v>
      </c>
      <c r="C119" s="5">
        <v>177277631</v>
      </c>
      <c r="D119" s="7">
        <v>39748</v>
      </c>
      <c r="E119" s="53" t="s">
        <v>7</v>
      </c>
    </row>
    <row r="120" spans="2:5" x14ac:dyDescent="0.35">
      <c r="B120" s="25" t="s">
        <v>136</v>
      </c>
      <c r="C120" s="5">
        <v>177317191</v>
      </c>
      <c r="D120" s="7">
        <v>232941</v>
      </c>
      <c r="E120" s="53" t="s">
        <v>7</v>
      </c>
    </row>
    <row r="121" spans="2:5" x14ac:dyDescent="0.35">
      <c r="B121" s="25" t="s">
        <v>137</v>
      </c>
      <c r="C121" s="5">
        <v>177108115</v>
      </c>
      <c r="D121" s="7">
        <v>85170</v>
      </c>
      <c r="E121" s="53" t="s">
        <v>7</v>
      </c>
    </row>
    <row r="122" spans="2:5" x14ac:dyDescent="0.35">
      <c r="B122" s="25" t="s">
        <v>138</v>
      </c>
      <c r="C122" s="5">
        <v>177174986</v>
      </c>
      <c r="D122" s="7">
        <v>4228</v>
      </c>
      <c r="E122" s="53" t="s">
        <v>7</v>
      </c>
    </row>
    <row r="123" spans="2:5" x14ac:dyDescent="0.35">
      <c r="B123" s="25" t="s">
        <v>139</v>
      </c>
      <c r="C123" s="5">
        <v>175565001</v>
      </c>
      <c r="D123" s="7">
        <v>44074</v>
      </c>
      <c r="E123" s="53" t="s">
        <v>7</v>
      </c>
    </row>
    <row r="124" spans="2:5" x14ac:dyDescent="0.35">
      <c r="B124" s="25" t="s">
        <v>140</v>
      </c>
      <c r="C124" s="5">
        <v>178154710</v>
      </c>
      <c r="D124" s="7">
        <v>54291</v>
      </c>
      <c r="E124" s="53" t="s">
        <v>7</v>
      </c>
    </row>
    <row r="125" spans="2:5" x14ac:dyDescent="0.35">
      <c r="B125" s="25" t="s">
        <v>141</v>
      </c>
      <c r="C125" s="5">
        <v>188143752</v>
      </c>
      <c r="D125" s="7">
        <v>75306</v>
      </c>
      <c r="E125" s="53" t="s">
        <v>7</v>
      </c>
    </row>
    <row r="126" spans="2:5" x14ac:dyDescent="0.35">
      <c r="B126" s="25" t="s">
        <v>142</v>
      </c>
      <c r="C126" s="5">
        <v>167039351</v>
      </c>
      <c r="D126" s="7">
        <v>58396</v>
      </c>
      <c r="E126" s="53" t="s">
        <v>5</v>
      </c>
    </row>
    <row r="127" spans="2:5" x14ac:dyDescent="0.35">
      <c r="B127" s="25" t="s">
        <v>143</v>
      </c>
      <c r="C127" s="5">
        <v>177995909</v>
      </c>
      <c r="D127" s="7">
        <v>34661</v>
      </c>
      <c r="E127" s="53" t="s">
        <v>7</v>
      </c>
    </row>
    <row r="128" spans="2:5" x14ac:dyDescent="0.35">
      <c r="B128" s="23" t="s">
        <v>144</v>
      </c>
      <c r="C128" s="5" t="s">
        <v>145</v>
      </c>
      <c r="D128" s="9">
        <v>8144</v>
      </c>
      <c r="E128" s="53" t="s">
        <v>7</v>
      </c>
    </row>
    <row r="129" spans="2:5" x14ac:dyDescent="0.35">
      <c r="B129" s="25" t="s">
        <v>146</v>
      </c>
      <c r="C129" s="5">
        <v>175847995</v>
      </c>
      <c r="D129" s="7">
        <v>362064</v>
      </c>
      <c r="E129" s="53" t="s">
        <v>7</v>
      </c>
    </row>
    <row r="130" spans="2:5" x14ac:dyDescent="0.35">
      <c r="B130" s="25" t="s">
        <v>147</v>
      </c>
      <c r="C130" s="5">
        <v>176869568</v>
      </c>
      <c r="D130" s="7">
        <v>8093</v>
      </c>
      <c r="E130" s="53" t="s">
        <v>7</v>
      </c>
    </row>
    <row r="131" spans="2:5" x14ac:dyDescent="0.35">
      <c r="B131" s="25" t="s">
        <v>148</v>
      </c>
      <c r="C131" s="5">
        <v>195322254</v>
      </c>
      <c r="D131" s="7">
        <v>23275</v>
      </c>
      <c r="E131" s="53" t="s">
        <v>7</v>
      </c>
    </row>
    <row r="132" spans="2:5" x14ac:dyDescent="0.35">
      <c r="B132" s="23" t="s">
        <v>149</v>
      </c>
      <c r="C132" s="5">
        <v>177363916</v>
      </c>
      <c r="D132" s="9">
        <v>29071</v>
      </c>
      <c r="E132" s="53" t="s">
        <v>7</v>
      </c>
    </row>
    <row r="133" spans="2:5" x14ac:dyDescent="0.35">
      <c r="B133" s="25" t="s">
        <v>150</v>
      </c>
      <c r="C133" s="5">
        <v>170999387</v>
      </c>
      <c r="D133" s="7">
        <v>127287</v>
      </c>
      <c r="E133" s="53" t="s">
        <v>5</v>
      </c>
    </row>
    <row r="134" spans="2:5" x14ac:dyDescent="0.35">
      <c r="B134" s="25" t="s">
        <v>151</v>
      </c>
      <c r="C134" s="5">
        <v>177449814</v>
      </c>
      <c r="D134" s="7">
        <v>25</v>
      </c>
      <c r="E134" s="53" t="s">
        <v>152</v>
      </c>
    </row>
    <row r="135" spans="2:5" x14ac:dyDescent="0.35">
      <c r="B135" s="23" t="s">
        <v>153</v>
      </c>
      <c r="C135" s="5">
        <v>177526472</v>
      </c>
      <c r="D135" s="9">
        <v>41380</v>
      </c>
      <c r="E135" s="53" t="s">
        <v>7</v>
      </c>
    </row>
    <row r="136" spans="2:5" x14ac:dyDescent="0.35">
      <c r="B136" s="25" t="s">
        <v>154</v>
      </c>
      <c r="C136" s="5">
        <v>177176835</v>
      </c>
      <c r="D136" s="7">
        <v>14099</v>
      </c>
      <c r="E136" s="53" t="s">
        <v>7</v>
      </c>
    </row>
    <row r="137" spans="2:5" x14ac:dyDescent="0.35">
      <c r="B137" s="25" t="s">
        <v>155</v>
      </c>
      <c r="C137" s="5">
        <v>175565282</v>
      </c>
      <c r="D137" s="7">
        <v>21742</v>
      </c>
      <c r="E137" s="53" t="s">
        <v>7</v>
      </c>
    </row>
    <row r="138" spans="2:5" x14ac:dyDescent="0.35">
      <c r="B138" s="25" t="s">
        <v>156</v>
      </c>
      <c r="C138" s="5">
        <v>174007825</v>
      </c>
      <c r="D138" s="7">
        <v>9834</v>
      </c>
      <c r="E138" s="53" t="s">
        <v>7</v>
      </c>
    </row>
    <row r="139" spans="2:5" x14ac:dyDescent="0.35">
      <c r="B139" s="25" t="s">
        <v>157</v>
      </c>
      <c r="C139" s="5">
        <v>193493396</v>
      </c>
      <c r="D139" s="7">
        <v>41790</v>
      </c>
      <c r="E139" s="53" t="s">
        <v>7</v>
      </c>
    </row>
    <row r="140" spans="2:5" x14ac:dyDescent="0.35">
      <c r="B140" s="25" t="s">
        <v>158</v>
      </c>
      <c r="C140" s="5">
        <v>143227353</v>
      </c>
      <c r="D140" s="7">
        <v>85018</v>
      </c>
      <c r="E140" s="53" t="s">
        <v>5</v>
      </c>
    </row>
    <row r="141" spans="2:5" x14ac:dyDescent="0.35">
      <c r="B141" s="25" t="s">
        <v>159</v>
      </c>
      <c r="C141" s="5">
        <v>192684021</v>
      </c>
      <c r="D141" s="7">
        <v>25132</v>
      </c>
      <c r="E141" s="53" t="s">
        <v>7</v>
      </c>
    </row>
    <row r="142" spans="2:5" x14ac:dyDescent="0.35">
      <c r="B142" s="25" t="s">
        <v>160</v>
      </c>
      <c r="C142" s="5">
        <v>177561263</v>
      </c>
      <c r="D142" s="7">
        <v>9165</v>
      </c>
      <c r="E142" s="53" t="s">
        <v>7</v>
      </c>
    </row>
    <row r="143" spans="2:5" x14ac:dyDescent="0.35">
      <c r="B143" s="25" t="s">
        <v>161</v>
      </c>
      <c r="C143" s="5">
        <v>171359340</v>
      </c>
      <c r="D143" s="7">
        <v>42263</v>
      </c>
      <c r="E143" s="53" t="s">
        <v>162</v>
      </c>
    </row>
    <row r="144" spans="2:5" x14ac:dyDescent="0.35">
      <c r="B144" s="23" t="s">
        <v>163</v>
      </c>
      <c r="C144" s="5">
        <v>192693099</v>
      </c>
      <c r="D144" s="9">
        <v>154530</v>
      </c>
      <c r="E144" s="53" t="s">
        <v>7</v>
      </c>
    </row>
    <row r="145" spans="2:5" x14ac:dyDescent="0.35">
      <c r="B145" s="25" t="s">
        <v>164</v>
      </c>
      <c r="C145" s="5">
        <v>191713603</v>
      </c>
      <c r="D145" s="7">
        <v>17044</v>
      </c>
      <c r="E145" s="53" t="s">
        <v>7</v>
      </c>
    </row>
    <row r="146" spans="2:5" x14ac:dyDescent="0.35">
      <c r="B146" s="25" t="s">
        <v>165</v>
      </c>
      <c r="C146" s="5">
        <v>177856564</v>
      </c>
      <c r="D146" s="7">
        <v>241696</v>
      </c>
      <c r="E146" s="53" t="s">
        <v>7</v>
      </c>
    </row>
    <row r="147" spans="2:5" x14ac:dyDescent="0.35">
      <c r="B147" s="25" t="s">
        <v>166</v>
      </c>
      <c r="C147" s="5">
        <v>178360341</v>
      </c>
      <c r="D147" s="7">
        <v>40117</v>
      </c>
      <c r="E147" s="53" t="s">
        <v>7</v>
      </c>
    </row>
    <row r="148" spans="2:5" x14ac:dyDescent="0.35">
      <c r="B148" s="25" t="s">
        <v>167</v>
      </c>
      <c r="C148" s="5">
        <v>177203302</v>
      </c>
      <c r="D148" s="7">
        <v>48634</v>
      </c>
      <c r="E148" s="53" t="s">
        <v>7</v>
      </c>
    </row>
    <row r="149" spans="2:5" x14ac:dyDescent="0.35">
      <c r="B149" s="25" t="s">
        <v>168</v>
      </c>
      <c r="C149" s="5">
        <v>175557749</v>
      </c>
      <c r="D149" s="7">
        <v>57480</v>
      </c>
      <c r="E149" s="53" t="s">
        <v>7</v>
      </c>
    </row>
    <row r="150" spans="2:5" x14ac:dyDescent="0.35">
      <c r="B150" s="25" t="s">
        <v>169</v>
      </c>
      <c r="C150" s="5">
        <v>127647515</v>
      </c>
      <c r="D150" s="7">
        <v>155093</v>
      </c>
      <c r="E150" s="53" t="s">
        <v>5</v>
      </c>
    </row>
    <row r="151" spans="2:5" x14ac:dyDescent="0.35">
      <c r="B151" s="23" t="s">
        <v>170</v>
      </c>
      <c r="C151" s="5" t="s">
        <v>171</v>
      </c>
      <c r="D151" s="9">
        <v>111020</v>
      </c>
      <c r="E151" s="53" t="s">
        <v>5</v>
      </c>
    </row>
    <row r="152" spans="2:5" x14ac:dyDescent="0.35">
      <c r="B152" s="23" t="s">
        <v>172</v>
      </c>
      <c r="C152" s="5">
        <v>33979867</v>
      </c>
      <c r="D152" s="9">
        <v>242343</v>
      </c>
      <c r="E152" s="53" t="s">
        <v>5</v>
      </c>
    </row>
    <row r="153" spans="2:5" x14ac:dyDescent="0.35">
      <c r="B153" s="25" t="s">
        <v>173</v>
      </c>
      <c r="C153" s="5">
        <v>196854065</v>
      </c>
      <c r="D153" s="7">
        <v>85550</v>
      </c>
      <c r="E153" s="53" t="s">
        <v>7</v>
      </c>
    </row>
    <row r="154" spans="2:5" x14ac:dyDescent="0.35">
      <c r="B154" s="25" t="s">
        <v>174</v>
      </c>
      <c r="C154" s="5">
        <v>177009006</v>
      </c>
      <c r="D154" s="7">
        <v>143002</v>
      </c>
      <c r="E154" s="53" t="s">
        <v>7</v>
      </c>
    </row>
    <row r="155" spans="2:5" x14ac:dyDescent="0.35">
      <c r="B155" s="25" t="s">
        <v>175</v>
      </c>
      <c r="C155" s="5">
        <v>175557099</v>
      </c>
      <c r="D155" s="7">
        <v>31987</v>
      </c>
      <c r="E155" s="53" t="s">
        <v>7</v>
      </c>
    </row>
    <row r="156" spans="2:5" x14ac:dyDescent="0.35">
      <c r="B156" s="25" t="s">
        <v>176</v>
      </c>
      <c r="C156" s="5">
        <v>183524065</v>
      </c>
      <c r="D156" s="7">
        <v>6991</v>
      </c>
      <c r="E156" s="53" t="s">
        <v>7</v>
      </c>
    </row>
    <row r="157" spans="2:5" x14ac:dyDescent="0.35">
      <c r="B157" s="25" t="s">
        <v>177</v>
      </c>
      <c r="C157" s="5">
        <v>191675750</v>
      </c>
      <c r="D157" s="7">
        <v>37187</v>
      </c>
      <c r="E157" s="53" t="s">
        <v>7</v>
      </c>
    </row>
    <row r="158" spans="2:5" x14ac:dyDescent="0.35">
      <c r="B158" s="25" t="s">
        <v>178</v>
      </c>
      <c r="C158" s="5">
        <v>177473004</v>
      </c>
      <c r="D158" s="7">
        <v>5807</v>
      </c>
      <c r="E158" s="53" t="s">
        <v>7</v>
      </c>
    </row>
    <row r="159" spans="2:5" x14ac:dyDescent="0.35">
      <c r="B159" s="25" t="s">
        <v>179</v>
      </c>
      <c r="C159" s="5">
        <v>177643069</v>
      </c>
      <c r="D159" s="7">
        <v>160873</v>
      </c>
      <c r="E159" s="53" t="s">
        <v>7</v>
      </c>
    </row>
    <row r="160" spans="2:5" x14ac:dyDescent="0.35">
      <c r="B160" s="25" t="s">
        <v>180</v>
      </c>
      <c r="C160" s="5">
        <v>178187395</v>
      </c>
      <c r="D160" s="7">
        <v>95827</v>
      </c>
      <c r="E160" s="53" t="s">
        <v>7</v>
      </c>
    </row>
    <row r="161" spans="2:5" x14ac:dyDescent="0.35">
      <c r="B161" s="23" t="s">
        <v>181</v>
      </c>
      <c r="C161" s="5" t="s">
        <v>182</v>
      </c>
      <c r="D161" s="9">
        <v>170775</v>
      </c>
      <c r="E161" s="53" t="s">
        <v>5</v>
      </c>
    </row>
    <row r="162" spans="2:5" x14ac:dyDescent="0.35">
      <c r="B162" s="25" t="s">
        <v>183</v>
      </c>
      <c r="C162" s="5">
        <v>177178233</v>
      </c>
      <c r="D162" s="7">
        <v>137436</v>
      </c>
      <c r="E162" s="53" t="s">
        <v>7</v>
      </c>
    </row>
    <row r="163" spans="2:5" x14ac:dyDescent="0.35">
      <c r="B163" s="25" t="s">
        <v>184</v>
      </c>
      <c r="C163" s="5">
        <v>177178506</v>
      </c>
      <c r="D163" s="7">
        <v>55116</v>
      </c>
      <c r="E163" s="53" t="s">
        <v>7</v>
      </c>
    </row>
    <row r="164" spans="2:5" x14ac:dyDescent="0.35">
      <c r="B164" s="25" t="s">
        <v>185</v>
      </c>
      <c r="C164" s="5">
        <v>169037775</v>
      </c>
      <c r="D164" s="7">
        <v>470673</v>
      </c>
      <c r="E164" s="53" t="s">
        <v>5</v>
      </c>
    </row>
    <row r="165" spans="2:5" x14ac:dyDescent="0.35">
      <c r="B165" s="23" t="s">
        <v>186</v>
      </c>
      <c r="C165" s="5">
        <v>197413085</v>
      </c>
      <c r="D165" s="9">
        <v>14993</v>
      </c>
      <c r="E165" s="53" t="s">
        <v>7</v>
      </c>
    </row>
    <row r="166" spans="2:5" x14ac:dyDescent="0.35">
      <c r="B166" s="25" t="s">
        <v>187</v>
      </c>
      <c r="C166" s="5">
        <v>158849976</v>
      </c>
      <c r="D166" s="7">
        <v>441480</v>
      </c>
      <c r="E166" s="53" t="s">
        <v>5</v>
      </c>
    </row>
    <row r="167" spans="2:5" x14ac:dyDescent="0.35">
      <c r="B167" s="25" t="s">
        <v>188</v>
      </c>
      <c r="C167" s="5">
        <v>179128190</v>
      </c>
      <c r="D167" s="7">
        <v>36105</v>
      </c>
      <c r="E167" s="53" t="s">
        <v>7</v>
      </c>
    </row>
    <row r="168" spans="2:5" x14ac:dyDescent="0.35">
      <c r="B168" s="25" t="s">
        <v>189</v>
      </c>
      <c r="C168" s="5">
        <v>177941733</v>
      </c>
      <c r="D168" s="7">
        <v>96090</v>
      </c>
      <c r="E168" s="53" t="s">
        <v>7</v>
      </c>
    </row>
    <row r="169" spans="2:5" ht="15" thickBot="1" x14ac:dyDescent="0.4">
      <c r="B169" s="27" t="s">
        <v>190</v>
      </c>
      <c r="C169" s="29">
        <v>179088505</v>
      </c>
      <c r="D169" s="31">
        <v>11006</v>
      </c>
      <c r="E169" s="54" t="s">
        <v>7</v>
      </c>
    </row>
    <row r="170" spans="2:5" ht="15" thickBot="1" x14ac:dyDescent="0.4">
      <c r="B170" s="46"/>
      <c r="C170" s="47"/>
      <c r="D170" s="48"/>
      <c r="E170" s="49"/>
    </row>
    <row r="171" spans="2:5" x14ac:dyDescent="0.35">
      <c r="B171" s="38" t="s">
        <v>191</v>
      </c>
      <c r="C171" s="39">
        <v>175572882</v>
      </c>
      <c r="D171" s="40">
        <v>20925</v>
      </c>
      <c r="E171" s="41">
        <v>46302</v>
      </c>
    </row>
    <row r="172" spans="2:5" x14ac:dyDescent="0.35">
      <c r="B172" s="25" t="s">
        <v>192</v>
      </c>
      <c r="C172" s="34">
        <v>177043256</v>
      </c>
      <c r="D172" s="35">
        <v>29244</v>
      </c>
      <c r="E172" s="42">
        <v>46302</v>
      </c>
    </row>
    <row r="173" spans="2:5" x14ac:dyDescent="0.35">
      <c r="B173" s="25" t="s">
        <v>193</v>
      </c>
      <c r="C173" s="34">
        <v>174173452</v>
      </c>
      <c r="D173" s="35">
        <v>80435</v>
      </c>
      <c r="E173" s="42">
        <v>46302</v>
      </c>
    </row>
    <row r="174" spans="2:5" x14ac:dyDescent="0.35">
      <c r="B174" s="25" t="s">
        <v>194</v>
      </c>
      <c r="C174" s="34">
        <v>177715687</v>
      </c>
      <c r="D174" s="35">
        <v>47703</v>
      </c>
      <c r="E174" s="42">
        <v>46302</v>
      </c>
    </row>
    <row r="175" spans="2:5" x14ac:dyDescent="0.35">
      <c r="B175" s="25" t="s">
        <v>195</v>
      </c>
      <c r="C175" s="34">
        <v>174173607</v>
      </c>
      <c r="D175" s="35">
        <v>72727</v>
      </c>
      <c r="E175" s="42">
        <v>46302</v>
      </c>
    </row>
    <row r="176" spans="2:5" x14ac:dyDescent="0.35">
      <c r="B176" s="25" t="s">
        <v>196</v>
      </c>
      <c r="C176" s="34">
        <v>172313886</v>
      </c>
      <c r="D176" s="35">
        <v>130716</v>
      </c>
      <c r="E176" s="42">
        <v>46301</v>
      </c>
    </row>
    <row r="177" spans="2:5" x14ac:dyDescent="0.35">
      <c r="B177" s="25" t="s">
        <v>197</v>
      </c>
      <c r="C177" s="34">
        <v>177044882</v>
      </c>
      <c r="D177" s="35">
        <v>130399</v>
      </c>
      <c r="E177" s="42">
        <v>46302</v>
      </c>
    </row>
    <row r="178" spans="2:5" x14ac:dyDescent="0.35">
      <c r="B178" s="25" t="s">
        <v>198</v>
      </c>
      <c r="C178" s="34">
        <v>177261551</v>
      </c>
      <c r="D178" s="35">
        <v>46989</v>
      </c>
      <c r="E178" s="42">
        <v>46302</v>
      </c>
    </row>
    <row r="179" spans="2:5" x14ac:dyDescent="0.35">
      <c r="B179" s="25" t="s">
        <v>199</v>
      </c>
      <c r="C179" s="34">
        <v>174751483</v>
      </c>
      <c r="D179" s="35">
        <v>38195</v>
      </c>
      <c r="E179" s="42">
        <v>46302</v>
      </c>
    </row>
    <row r="180" spans="2:5" x14ac:dyDescent="0.35">
      <c r="B180" s="25" t="s">
        <v>200</v>
      </c>
      <c r="C180" s="34">
        <v>178545240</v>
      </c>
      <c r="D180" s="35">
        <v>59587</v>
      </c>
      <c r="E180" s="42">
        <v>46302</v>
      </c>
    </row>
    <row r="181" spans="2:5" x14ac:dyDescent="0.35">
      <c r="B181" s="25" t="s">
        <v>201</v>
      </c>
      <c r="C181" s="34">
        <v>177050996</v>
      </c>
      <c r="D181" s="35">
        <v>46567</v>
      </c>
      <c r="E181" s="42">
        <v>46302</v>
      </c>
    </row>
    <row r="182" spans="2:5" x14ac:dyDescent="0.35">
      <c r="B182" s="25" t="s">
        <v>202</v>
      </c>
      <c r="C182" s="34">
        <v>177042809</v>
      </c>
      <c r="D182" s="35">
        <v>170936</v>
      </c>
      <c r="E182" s="42">
        <v>46309</v>
      </c>
    </row>
    <row r="183" spans="2:5" x14ac:dyDescent="0.35">
      <c r="B183" s="25" t="s">
        <v>203</v>
      </c>
      <c r="C183" s="34">
        <v>30749451</v>
      </c>
      <c r="D183" s="35">
        <v>68509</v>
      </c>
      <c r="E183" s="42">
        <v>46301</v>
      </c>
    </row>
    <row r="184" spans="2:5" x14ac:dyDescent="0.35">
      <c r="B184" s="25" t="s">
        <v>204</v>
      </c>
      <c r="C184" s="34">
        <v>177050582</v>
      </c>
      <c r="D184" s="35">
        <v>95810</v>
      </c>
      <c r="E184" s="42">
        <v>46302</v>
      </c>
    </row>
    <row r="185" spans="2:5" x14ac:dyDescent="0.35">
      <c r="B185" s="25" t="s">
        <v>205</v>
      </c>
      <c r="C185" s="34">
        <v>174751810</v>
      </c>
      <c r="D185" s="35">
        <v>22544</v>
      </c>
      <c r="E185" s="42">
        <v>46667</v>
      </c>
    </row>
    <row r="186" spans="2:5" x14ac:dyDescent="0.35">
      <c r="B186" s="25" t="s">
        <v>206</v>
      </c>
      <c r="C186" s="36">
        <v>197443944</v>
      </c>
      <c r="D186" s="35">
        <v>124706</v>
      </c>
      <c r="E186" s="42">
        <v>47033</v>
      </c>
    </row>
    <row r="187" spans="2:5" x14ac:dyDescent="0.35">
      <c r="B187" s="25" t="s">
        <v>207</v>
      </c>
      <c r="C187" s="36">
        <v>167833001</v>
      </c>
      <c r="D187" s="35">
        <v>452542</v>
      </c>
      <c r="E187" s="42">
        <v>46301</v>
      </c>
    </row>
    <row r="188" spans="2:5" x14ac:dyDescent="0.35">
      <c r="B188" s="25" t="s">
        <v>208</v>
      </c>
      <c r="C188" s="36">
        <v>191633045</v>
      </c>
      <c r="D188" s="35">
        <v>885413</v>
      </c>
      <c r="E188" s="42">
        <v>46302</v>
      </c>
    </row>
    <row r="189" spans="2:5" x14ac:dyDescent="0.35">
      <c r="B189" s="25" t="s">
        <v>209</v>
      </c>
      <c r="C189" s="36">
        <v>24842977</v>
      </c>
      <c r="D189" s="35">
        <v>19756</v>
      </c>
      <c r="E189" s="42">
        <v>46303</v>
      </c>
    </row>
    <row r="190" spans="2:5" x14ac:dyDescent="0.35">
      <c r="B190" s="25" t="s">
        <v>210</v>
      </c>
      <c r="C190" s="36">
        <v>167832892</v>
      </c>
      <c r="D190" s="35">
        <v>334481</v>
      </c>
      <c r="E190" s="42">
        <v>46301</v>
      </c>
    </row>
    <row r="191" spans="2:5" x14ac:dyDescent="0.35">
      <c r="B191" s="25" t="s">
        <v>211</v>
      </c>
      <c r="C191" s="36">
        <v>20555645</v>
      </c>
      <c r="D191" s="35">
        <v>30127</v>
      </c>
      <c r="E191" s="42">
        <v>46289</v>
      </c>
    </row>
    <row r="192" spans="2:5" x14ac:dyDescent="0.35">
      <c r="B192" s="25" t="s">
        <v>212</v>
      </c>
      <c r="C192" s="36">
        <v>175333550</v>
      </c>
      <c r="D192" s="35">
        <v>390423</v>
      </c>
      <c r="E192" s="42">
        <v>46302</v>
      </c>
    </row>
    <row r="193" spans="2:5" x14ac:dyDescent="0.35">
      <c r="B193" s="25" t="s">
        <v>213</v>
      </c>
      <c r="C193" s="36">
        <v>172212126</v>
      </c>
      <c r="D193" s="35">
        <v>237409</v>
      </c>
      <c r="E193" s="42">
        <v>46301</v>
      </c>
    </row>
    <row r="194" spans="2:5" x14ac:dyDescent="0.35">
      <c r="B194" s="25" t="s">
        <v>214</v>
      </c>
      <c r="C194" s="36">
        <v>174927414</v>
      </c>
      <c r="D194" s="35">
        <v>161785</v>
      </c>
      <c r="E194" s="42">
        <v>46302</v>
      </c>
    </row>
    <row r="195" spans="2:5" x14ac:dyDescent="0.35">
      <c r="B195" s="25" t="s">
        <v>215</v>
      </c>
      <c r="C195" s="36">
        <v>198107037</v>
      </c>
      <c r="D195" s="35">
        <v>10487</v>
      </c>
      <c r="E195" s="42">
        <v>46302</v>
      </c>
    </row>
    <row r="196" spans="2:5" x14ac:dyDescent="0.35">
      <c r="B196" s="25" t="s">
        <v>216</v>
      </c>
      <c r="C196" s="36">
        <v>147784876</v>
      </c>
      <c r="D196" s="35">
        <v>137648</v>
      </c>
      <c r="E196" s="42">
        <v>46308</v>
      </c>
    </row>
    <row r="197" spans="2:5" x14ac:dyDescent="0.35">
      <c r="B197" s="25" t="s">
        <v>217</v>
      </c>
      <c r="C197" s="34">
        <v>178264204</v>
      </c>
      <c r="D197" s="35">
        <v>183123</v>
      </c>
      <c r="E197" s="42">
        <v>46308</v>
      </c>
    </row>
    <row r="198" spans="2:5" x14ac:dyDescent="0.35">
      <c r="B198" s="25" t="s">
        <v>218</v>
      </c>
      <c r="C198" s="34">
        <v>16994453</v>
      </c>
      <c r="D198" s="35">
        <v>53295</v>
      </c>
      <c r="E198" s="42">
        <v>46286</v>
      </c>
    </row>
    <row r="199" spans="2:5" x14ac:dyDescent="0.35">
      <c r="B199" s="25" t="s">
        <v>219</v>
      </c>
      <c r="C199" s="36">
        <v>195840325</v>
      </c>
      <c r="D199" s="35">
        <v>22030</v>
      </c>
      <c r="E199" s="42">
        <v>46302</v>
      </c>
    </row>
    <row r="200" spans="2:5" x14ac:dyDescent="0.35">
      <c r="B200" s="25" t="s">
        <v>220</v>
      </c>
      <c r="C200" s="34">
        <v>156132938</v>
      </c>
      <c r="D200" s="35">
        <v>135519</v>
      </c>
      <c r="E200" s="42">
        <v>46300</v>
      </c>
    </row>
    <row r="201" spans="2:5" x14ac:dyDescent="0.35">
      <c r="B201" s="25" t="s">
        <v>221</v>
      </c>
      <c r="C201" s="34">
        <v>156314817</v>
      </c>
      <c r="D201" s="35">
        <v>10376</v>
      </c>
      <c r="E201" s="42">
        <v>46301</v>
      </c>
    </row>
    <row r="202" spans="2:5" x14ac:dyDescent="0.35">
      <c r="B202" s="25" t="s">
        <v>222</v>
      </c>
      <c r="C202" s="34">
        <v>155903083</v>
      </c>
      <c r="D202" s="35">
        <v>218997</v>
      </c>
      <c r="E202" s="42">
        <v>46301</v>
      </c>
    </row>
    <row r="203" spans="2:5" x14ac:dyDescent="0.35">
      <c r="B203" s="25" t="s">
        <v>223</v>
      </c>
      <c r="C203" s="34">
        <v>177713886</v>
      </c>
      <c r="D203" s="35">
        <v>59733</v>
      </c>
      <c r="E203" s="42">
        <v>46302</v>
      </c>
    </row>
    <row r="204" spans="2:5" x14ac:dyDescent="0.35">
      <c r="B204" s="25" t="s">
        <v>224</v>
      </c>
      <c r="C204" s="34">
        <v>156315178</v>
      </c>
      <c r="D204" s="35">
        <v>238690</v>
      </c>
      <c r="E204" s="42">
        <v>46301</v>
      </c>
    </row>
    <row r="205" spans="2:5" x14ac:dyDescent="0.35">
      <c r="B205" s="25" t="s">
        <v>225</v>
      </c>
      <c r="C205" s="34">
        <v>189053455</v>
      </c>
      <c r="D205" s="35">
        <v>36392</v>
      </c>
      <c r="E205" s="42">
        <v>46302</v>
      </c>
    </row>
    <row r="206" spans="2:5" x14ac:dyDescent="0.35">
      <c r="B206" s="25" t="s">
        <v>226</v>
      </c>
      <c r="C206" s="34">
        <v>167579564</v>
      </c>
      <c r="D206" s="35">
        <v>179087</v>
      </c>
      <c r="E206" s="42">
        <v>46301</v>
      </c>
    </row>
    <row r="207" spans="2:5" x14ac:dyDescent="0.35">
      <c r="B207" s="25" t="s">
        <v>227</v>
      </c>
      <c r="C207" s="34">
        <v>174441517</v>
      </c>
      <c r="D207" s="35">
        <v>204489</v>
      </c>
      <c r="E207" s="42">
        <v>46302</v>
      </c>
    </row>
    <row r="208" spans="2:5" x14ac:dyDescent="0.35">
      <c r="B208" s="25" t="s">
        <v>228</v>
      </c>
      <c r="C208" s="34">
        <v>167726122</v>
      </c>
      <c r="D208" s="35">
        <v>260058</v>
      </c>
      <c r="E208" s="42">
        <v>46301</v>
      </c>
    </row>
    <row r="209" spans="2:5" x14ac:dyDescent="0.35">
      <c r="B209" s="25" t="s">
        <v>229</v>
      </c>
      <c r="C209" s="34">
        <v>157762564</v>
      </c>
      <c r="D209" s="35">
        <v>137793</v>
      </c>
      <c r="E209" s="42">
        <v>46301</v>
      </c>
    </row>
    <row r="210" spans="2:5" x14ac:dyDescent="0.35">
      <c r="B210" s="25" t="s">
        <v>230</v>
      </c>
      <c r="C210" s="34">
        <v>167579319</v>
      </c>
      <c r="D210" s="35">
        <v>122683</v>
      </c>
      <c r="E210" s="42">
        <v>46301</v>
      </c>
    </row>
    <row r="211" spans="2:5" x14ac:dyDescent="0.35">
      <c r="B211" s="25" t="s">
        <v>231</v>
      </c>
      <c r="C211" s="34">
        <v>48861599</v>
      </c>
      <c r="D211" s="35">
        <v>118517</v>
      </c>
      <c r="E211" s="42">
        <v>46301</v>
      </c>
    </row>
    <row r="212" spans="2:5" x14ac:dyDescent="0.35">
      <c r="B212" s="25" t="s">
        <v>232</v>
      </c>
      <c r="C212" s="34">
        <v>20956991</v>
      </c>
      <c r="D212" s="35">
        <v>59682</v>
      </c>
      <c r="E212" s="42">
        <v>46294</v>
      </c>
    </row>
    <row r="213" spans="2:5" x14ac:dyDescent="0.35">
      <c r="B213" s="25" t="s">
        <v>233</v>
      </c>
      <c r="C213" s="34">
        <v>172228674</v>
      </c>
      <c r="D213" s="35">
        <v>309727</v>
      </c>
      <c r="E213" s="42">
        <v>46301</v>
      </c>
    </row>
    <row r="214" spans="2:5" x14ac:dyDescent="0.35">
      <c r="B214" s="25" t="s">
        <v>234</v>
      </c>
      <c r="C214" s="34">
        <v>157025420</v>
      </c>
      <c r="D214" s="35">
        <v>94798</v>
      </c>
      <c r="E214" s="42">
        <v>46301</v>
      </c>
    </row>
    <row r="215" spans="2:5" x14ac:dyDescent="0.35">
      <c r="B215" s="25" t="s">
        <v>235</v>
      </c>
      <c r="C215" s="34">
        <v>165989049</v>
      </c>
      <c r="D215" s="35">
        <v>40617</v>
      </c>
      <c r="E215" s="42">
        <v>46274</v>
      </c>
    </row>
    <row r="216" spans="2:5" x14ac:dyDescent="0.35">
      <c r="B216" s="25" t="s">
        <v>236</v>
      </c>
      <c r="C216" s="34">
        <v>155896747</v>
      </c>
      <c r="D216" s="35">
        <v>153867</v>
      </c>
      <c r="E216" s="42">
        <v>46301</v>
      </c>
    </row>
    <row r="217" spans="2:5" x14ac:dyDescent="0.35">
      <c r="B217" s="25" t="s">
        <v>237</v>
      </c>
      <c r="C217" s="34">
        <v>156133001</v>
      </c>
      <c r="D217" s="35">
        <v>125813</v>
      </c>
      <c r="E217" s="42">
        <v>46301</v>
      </c>
    </row>
    <row r="218" spans="2:5" x14ac:dyDescent="0.35">
      <c r="B218" s="25" t="s">
        <v>238</v>
      </c>
      <c r="C218" s="34">
        <v>156132953</v>
      </c>
      <c r="D218" s="35">
        <v>119684</v>
      </c>
      <c r="E218" s="42">
        <v>46301</v>
      </c>
    </row>
    <row r="219" spans="2:5" x14ac:dyDescent="0.35">
      <c r="B219" s="25" t="s">
        <v>239</v>
      </c>
      <c r="C219" s="34">
        <v>156158135</v>
      </c>
      <c r="D219" s="35">
        <v>32825</v>
      </c>
      <c r="E219" s="42">
        <v>46300</v>
      </c>
    </row>
    <row r="220" spans="2:5" x14ac:dyDescent="0.35">
      <c r="B220" s="25" t="s">
        <v>240</v>
      </c>
      <c r="C220" s="34">
        <v>177790397</v>
      </c>
      <c r="D220" s="35">
        <v>29863</v>
      </c>
      <c r="E220" s="42">
        <v>46302</v>
      </c>
    </row>
    <row r="221" spans="2:5" x14ac:dyDescent="0.35">
      <c r="B221" s="25" t="s">
        <v>241</v>
      </c>
      <c r="C221" s="34">
        <v>173519218</v>
      </c>
      <c r="D221" s="35">
        <v>44043</v>
      </c>
      <c r="E221" s="42">
        <v>46302</v>
      </c>
    </row>
    <row r="222" spans="2:5" x14ac:dyDescent="0.35">
      <c r="B222" s="25" t="s">
        <v>242</v>
      </c>
      <c r="C222" s="34">
        <v>164185462</v>
      </c>
      <c r="D222" s="35">
        <v>186217</v>
      </c>
      <c r="E222" s="42">
        <v>46301</v>
      </c>
    </row>
    <row r="223" spans="2:5" x14ac:dyDescent="0.35">
      <c r="B223" s="25" t="s">
        <v>243</v>
      </c>
      <c r="C223" s="34">
        <v>156314114</v>
      </c>
      <c r="D223" s="35">
        <v>70514</v>
      </c>
      <c r="E223" s="42">
        <v>46301</v>
      </c>
    </row>
    <row r="224" spans="2:5" x14ac:dyDescent="0.35">
      <c r="B224" s="25" t="s">
        <v>244</v>
      </c>
      <c r="C224" s="34">
        <v>157663483</v>
      </c>
      <c r="D224" s="35">
        <v>6675</v>
      </c>
      <c r="E224" s="42">
        <v>46301</v>
      </c>
    </row>
    <row r="225" spans="2:5" x14ac:dyDescent="0.35">
      <c r="B225" s="25" t="s">
        <v>245</v>
      </c>
      <c r="C225" s="34">
        <v>174984645</v>
      </c>
      <c r="D225" s="35">
        <v>166578</v>
      </c>
      <c r="E225" s="42">
        <v>46302</v>
      </c>
    </row>
    <row r="226" spans="2:5" x14ac:dyDescent="0.35">
      <c r="B226" s="25" t="s">
        <v>246</v>
      </c>
      <c r="C226" s="34">
        <v>179227463</v>
      </c>
      <c r="D226" s="35">
        <v>123306</v>
      </c>
      <c r="E226" s="42">
        <v>46302</v>
      </c>
    </row>
    <row r="227" spans="2:5" x14ac:dyDescent="0.35">
      <c r="B227" s="25" t="s">
        <v>247</v>
      </c>
      <c r="C227" s="34">
        <v>165145671</v>
      </c>
      <c r="D227" s="35">
        <v>70887</v>
      </c>
      <c r="E227" s="42">
        <v>46301</v>
      </c>
    </row>
    <row r="228" spans="2:5" x14ac:dyDescent="0.35">
      <c r="B228" s="25" t="s">
        <v>248</v>
      </c>
      <c r="C228" s="37">
        <v>173602307</v>
      </c>
      <c r="D228" s="35">
        <v>89694</v>
      </c>
      <c r="E228" s="42">
        <v>46302</v>
      </c>
    </row>
    <row r="229" spans="2:5" x14ac:dyDescent="0.35">
      <c r="B229" s="25" t="s">
        <v>249</v>
      </c>
      <c r="C229" s="37">
        <v>174751988</v>
      </c>
      <c r="D229" s="35">
        <v>200244</v>
      </c>
      <c r="E229" s="42">
        <v>46302</v>
      </c>
    </row>
    <row r="230" spans="2:5" x14ac:dyDescent="0.35">
      <c r="B230" s="25" t="s">
        <v>250</v>
      </c>
      <c r="C230" s="37">
        <v>175085253</v>
      </c>
      <c r="D230" s="35">
        <v>15711</v>
      </c>
      <c r="E230" s="42">
        <v>46302</v>
      </c>
    </row>
    <row r="231" spans="2:5" x14ac:dyDescent="0.35">
      <c r="B231" s="25" t="s">
        <v>251</v>
      </c>
      <c r="C231" s="37">
        <v>174518831</v>
      </c>
      <c r="D231" s="35">
        <v>95429</v>
      </c>
      <c r="E231" s="42">
        <v>46302</v>
      </c>
    </row>
    <row r="232" spans="2:5" x14ac:dyDescent="0.35">
      <c r="B232" s="25" t="s">
        <v>252</v>
      </c>
      <c r="C232" s="37">
        <v>173594193</v>
      </c>
      <c r="D232" s="35">
        <v>82092</v>
      </c>
      <c r="E232" s="42">
        <v>46308</v>
      </c>
    </row>
    <row r="233" spans="2:5" x14ac:dyDescent="0.35">
      <c r="B233" s="25" t="s">
        <v>253</v>
      </c>
      <c r="C233" s="37">
        <v>177716527</v>
      </c>
      <c r="D233" s="35">
        <v>35882</v>
      </c>
      <c r="E233" s="42">
        <v>46302</v>
      </c>
    </row>
    <row r="234" spans="2:5" x14ac:dyDescent="0.35">
      <c r="B234" s="25" t="s">
        <v>254</v>
      </c>
      <c r="C234" s="37">
        <v>177116254</v>
      </c>
      <c r="D234" s="35">
        <v>146286</v>
      </c>
      <c r="E234" s="42">
        <v>46308</v>
      </c>
    </row>
    <row r="235" spans="2:5" x14ac:dyDescent="0.35">
      <c r="B235" s="25" t="s">
        <v>255</v>
      </c>
      <c r="C235" s="37">
        <v>174511212</v>
      </c>
      <c r="D235" s="35">
        <v>186272</v>
      </c>
      <c r="E235" s="42">
        <v>46302</v>
      </c>
    </row>
    <row r="236" spans="2:5" x14ac:dyDescent="0.35">
      <c r="B236" s="25" t="s">
        <v>256</v>
      </c>
      <c r="C236" s="37">
        <v>173595851</v>
      </c>
      <c r="D236" s="35">
        <v>62029</v>
      </c>
      <c r="E236" s="42">
        <v>46302</v>
      </c>
    </row>
    <row r="237" spans="2:5" x14ac:dyDescent="0.35">
      <c r="B237" s="25" t="s">
        <v>257</v>
      </c>
      <c r="C237" s="37">
        <v>31360613</v>
      </c>
      <c r="D237" s="35">
        <v>44432</v>
      </c>
      <c r="E237" s="42">
        <v>46297</v>
      </c>
    </row>
    <row r="238" spans="2:5" x14ac:dyDescent="0.35">
      <c r="B238" s="25" t="s">
        <v>258</v>
      </c>
      <c r="C238" s="37">
        <v>174511667</v>
      </c>
      <c r="D238" s="35">
        <v>30355</v>
      </c>
      <c r="E238" s="42">
        <v>46302</v>
      </c>
    </row>
    <row r="239" spans="2:5" x14ac:dyDescent="0.35">
      <c r="B239" s="25" t="s">
        <v>259</v>
      </c>
      <c r="C239" s="37">
        <v>173601838</v>
      </c>
      <c r="D239" s="35">
        <v>74665</v>
      </c>
      <c r="E239" s="42">
        <v>46302</v>
      </c>
    </row>
    <row r="240" spans="2:5" x14ac:dyDescent="0.35">
      <c r="B240" s="25" t="s">
        <v>260</v>
      </c>
      <c r="C240" s="37">
        <v>174511956</v>
      </c>
      <c r="D240" s="35">
        <v>26389</v>
      </c>
      <c r="E240" s="42">
        <v>46302</v>
      </c>
    </row>
    <row r="241" spans="2:5" x14ac:dyDescent="0.35">
      <c r="B241" s="25" t="s">
        <v>261</v>
      </c>
      <c r="C241" s="37">
        <v>174189611</v>
      </c>
      <c r="D241" s="35">
        <v>201740</v>
      </c>
      <c r="E241" s="42">
        <v>46302</v>
      </c>
    </row>
    <row r="242" spans="2:5" x14ac:dyDescent="0.35">
      <c r="B242" s="25" t="s">
        <v>262</v>
      </c>
      <c r="C242" s="37">
        <v>174189215</v>
      </c>
      <c r="D242" s="35">
        <v>216281</v>
      </c>
      <c r="E242" s="42">
        <v>46302</v>
      </c>
    </row>
    <row r="243" spans="2:5" x14ac:dyDescent="0.35">
      <c r="B243" s="25" t="s">
        <v>263</v>
      </c>
      <c r="C243" s="37">
        <v>195894538</v>
      </c>
      <c r="D243" s="35">
        <v>38967</v>
      </c>
      <c r="E243" s="42">
        <v>46302</v>
      </c>
    </row>
    <row r="244" spans="2:5" x14ac:dyDescent="0.35">
      <c r="B244" s="25" t="s">
        <v>264</v>
      </c>
      <c r="C244" s="37">
        <v>177658283</v>
      </c>
      <c r="D244" s="35">
        <v>52558</v>
      </c>
      <c r="E244" s="42">
        <v>44476</v>
      </c>
    </row>
    <row r="245" spans="2:5" x14ac:dyDescent="0.35">
      <c r="B245" s="25" t="s">
        <v>265</v>
      </c>
      <c r="C245" s="37">
        <v>177120260</v>
      </c>
      <c r="D245" s="35">
        <v>36387</v>
      </c>
      <c r="E245" s="42">
        <v>46302</v>
      </c>
    </row>
    <row r="246" spans="2:5" x14ac:dyDescent="0.35">
      <c r="B246" s="25" t="s">
        <v>266</v>
      </c>
      <c r="C246" s="37">
        <v>174183667</v>
      </c>
      <c r="D246" s="35">
        <v>261104</v>
      </c>
      <c r="E246" s="42">
        <v>46302</v>
      </c>
    </row>
    <row r="247" spans="2:5" x14ac:dyDescent="0.35">
      <c r="B247" s="25" t="s">
        <v>267</v>
      </c>
      <c r="C247" s="37">
        <v>177658436</v>
      </c>
      <c r="D247" s="35">
        <v>53057</v>
      </c>
      <c r="E247" s="42">
        <v>46302</v>
      </c>
    </row>
    <row r="248" spans="2:5" x14ac:dyDescent="0.35">
      <c r="B248" s="25" t="s">
        <v>268</v>
      </c>
      <c r="C248" s="37">
        <v>174512210</v>
      </c>
      <c r="D248" s="35">
        <v>24262</v>
      </c>
      <c r="E248" s="42">
        <v>46302</v>
      </c>
    </row>
    <row r="249" spans="2:5" x14ac:dyDescent="0.35">
      <c r="B249" s="25" t="s">
        <v>269</v>
      </c>
      <c r="C249" s="37">
        <v>179168935</v>
      </c>
      <c r="D249" s="35">
        <v>74456</v>
      </c>
      <c r="E249" s="42">
        <v>46302</v>
      </c>
    </row>
    <row r="250" spans="2:5" x14ac:dyDescent="0.35">
      <c r="B250" s="25" t="s">
        <v>270</v>
      </c>
      <c r="C250" s="37">
        <v>28719854</v>
      </c>
      <c r="D250" s="35">
        <v>118676</v>
      </c>
      <c r="E250" s="42">
        <v>46287</v>
      </c>
    </row>
    <row r="251" spans="2:5" x14ac:dyDescent="0.35">
      <c r="B251" s="25" t="s">
        <v>271</v>
      </c>
      <c r="C251" s="37">
        <v>174183606</v>
      </c>
      <c r="D251" s="35">
        <v>113474</v>
      </c>
      <c r="E251" s="42">
        <v>46302</v>
      </c>
    </row>
    <row r="252" spans="2:5" x14ac:dyDescent="0.35">
      <c r="B252" s="25" t="s">
        <v>272</v>
      </c>
      <c r="C252" s="37">
        <v>177647260</v>
      </c>
      <c r="D252" s="35">
        <v>93508</v>
      </c>
      <c r="E252" s="42">
        <v>46302</v>
      </c>
    </row>
    <row r="253" spans="2:5" x14ac:dyDescent="0.35">
      <c r="B253" s="25" t="s">
        <v>273</v>
      </c>
      <c r="C253" s="37">
        <v>21608468</v>
      </c>
      <c r="D253" s="35">
        <v>186167</v>
      </c>
      <c r="E253" s="42">
        <v>46286</v>
      </c>
    </row>
    <row r="254" spans="2:5" x14ac:dyDescent="0.35">
      <c r="B254" s="25" t="s">
        <v>274</v>
      </c>
      <c r="C254" s="37">
        <v>175479399</v>
      </c>
      <c r="D254" s="35">
        <v>120647</v>
      </c>
      <c r="E254" s="42">
        <v>46302</v>
      </c>
    </row>
    <row r="255" spans="2:5" x14ac:dyDescent="0.35">
      <c r="B255" s="25" t="s">
        <v>275</v>
      </c>
      <c r="C255" s="37">
        <v>29824384</v>
      </c>
      <c r="D255" s="35">
        <v>20353</v>
      </c>
      <c r="E255" s="42">
        <v>46296</v>
      </c>
    </row>
    <row r="256" spans="2:5" x14ac:dyDescent="0.35">
      <c r="B256" s="25" t="s">
        <v>276</v>
      </c>
      <c r="C256" s="37">
        <v>177120492</v>
      </c>
      <c r="D256" s="35">
        <v>36985</v>
      </c>
      <c r="E256" s="42">
        <v>46302</v>
      </c>
    </row>
    <row r="257" spans="2:5" x14ac:dyDescent="0.35">
      <c r="B257" s="25" t="s">
        <v>277</v>
      </c>
      <c r="C257" s="37">
        <v>175085055</v>
      </c>
      <c r="D257" s="35">
        <v>11682</v>
      </c>
      <c r="E257" s="42">
        <v>46302</v>
      </c>
    </row>
    <row r="258" spans="2:5" x14ac:dyDescent="0.35">
      <c r="B258" s="25" t="s">
        <v>278</v>
      </c>
      <c r="C258" s="37">
        <v>175899863</v>
      </c>
      <c r="D258" s="35">
        <v>68352</v>
      </c>
      <c r="E258" s="42">
        <v>46302</v>
      </c>
    </row>
    <row r="259" spans="2:5" x14ac:dyDescent="0.35">
      <c r="B259" s="25" t="s">
        <v>279</v>
      </c>
      <c r="C259" s="37">
        <v>189026539</v>
      </c>
      <c r="D259" s="35">
        <v>102491</v>
      </c>
      <c r="E259" s="42">
        <v>46302</v>
      </c>
    </row>
    <row r="260" spans="2:5" x14ac:dyDescent="0.35">
      <c r="B260" s="25" t="s">
        <v>280</v>
      </c>
      <c r="C260" s="37">
        <v>179420262</v>
      </c>
      <c r="D260" s="35">
        <v>62554</v>
      </c>
      <c r="E260" s="42">
        <v>46302</v>
      </c>
    </row>
    <row r="261" spans="2:5" x14ac:dyDescent="0.35">
      <c r="B261" s="25" t="s">
        <v>281</v>
      </c>
      <c r="C261" s="37">
        <v>178293500</v>
      </c>
      <c r="D261" s="35">
        <v>46955</v>
      </c>
      <c r="E261" s="42">
        <v>46302</v>
      </c>
    </row>
    <row r="262" spans="2:5" x14ac:dyDescent="0.35">
      <c r="B262" s="25" t="s">
        <v>282</v>
      </c>
      <c r="C262" s="37">
        <v>189026729</v>
      </c>
      <c r="D262" s="35">
        <v>49748</v>
      </c>
      <c r="E262" s="42">
        <v>46302</v>
      </c>
    </row>
    <row r="263" spans="2:5" x14ac:dyDescent="0.35">
      <c r="B263" s="25" t="s">
        <v>283</v>
      </c>
      <c r="C263" s="37">
        <v>177896717</v>
      </c>
      <c r="D263" s="35">
        <v>476884</v>
      </c>
      <c r="E263" s="42">
        <v>46302</v>
      </c>
    </row>
    <row r="264" spans="2:5" x14ac:dyDescent="0.35">
      <c r="B264" s="25" t="s">
        <v>284</v>
      </c>
      <c r="C264" s="37">
        <v>173537465</v>
      </c>
      <c r="D264" s="35">
        <v>53798</v>
      </c>
      <c r="E264" s="42">
        <v>46302</v>
      </c>
    </row>
    <row r="265" spans="2:5" x14ac:dyDescent="0.35">
      <c r="B265" s="25" t="s">
        <v>285</v>
      </c>
      <c r="C265" s="37">
        <v>175557129</v>
      </c>
      <c r="D265" s="35">
        <v>25699</v>
      </c>
      <c r="E265" s="42">
        <v>46302</v>
      </c>
    </row>
    <row r="266" spans="2:5" x14ac:dyDescent="0.35">
      <c r="B266" s="25" t="s">
        <v>286</v>
      </c>
      <c r="C266" s="37">
        <v>175082850</v>
      </c>
      <c r="D266" s="35">
        <v>34331</v>
      </c>
      <c r="E266" s="42">
        <v>46302</v>
      </c>
    </row>
    <row r="267" spans="2:5" x14ac:dyDescent="0.35">
      <c r="B267" s="25" t="s">
        <v>287</v>
      </c>
      <c r="C267" s="37">
        <v>173935834</v>
      </c>
      <c r="D267" s="35">
        <v>210127</v>
      </c>
      <c r="E267" s="42">
        <v>46307</v>
      </c>
    </row>
    <row r="268" spans="2:5" x14ac:dyDescent="0.35">
      <c r="B268" s="25" t="s">
        <v>288</v>
      </c>
      <c r="C268" s="37">
        <v>177654940</v>
      </c>
      <c r="D268" s="35">
        <v>79696</v>
      </c>
      <c r="E268" s="42">
        <v>46302</v>
      </c>
    </row>
    <row r="269" spans="2:5" x14ac:dyDescent="0.35">
      <c r="B269" s="25" t="s">
        <v>289</v>
      </c>
      <c r="C269" s="37">
        <v>175479730</v>
      </c>
      <c r="D269" s="35">
        <v>125475</v>
      </c>
      <c r="E269" s="42">
        <v>46302</v>
      </c>
    </row>
    <row r="270" spans="2:5" x14ac:dyDescent="0.35">
      <c r="B270" s="25" t="s">
        <v>290</v>
      </c>
      <c r="C270" s="37">
        <v>174518344</v>
      </c>
      <c r="D270" s="35">
        <v>25862</v>
      </c>
      <c r="E270" s="42">
        <v>46302</v>
      </c>
    </row>
    <row r="271" spans="2:5" x14ac:dyDescent="0.35">
      <c r="B271" s="25" t="s">
        <v>291</v>
      </c>
      <c r="C271" s="37">
        <v>174328716</v>
      </c>
      <c r="D271" s="35">
        <v>58633</v>
      </c>
      <c r="E271" s="42">
        <v>46302</v>
      </c>
    </row>
    <row r="272" spans="2:5" x14ac:dyDescent="0.35">
      <c r="B272" s="25" t="s">
        <v>292</v>
      </c>
      <c r="C272" s="37">
        <v>179236736</v>
      </c>
      <c r="D272" s="35">
        <v>32273</v>
      </c>
      <c r="E272" s="42">
        <v>46302</v>
      </c>
    </row>
    <row r="273" spans="2:5" x14ac:dyDescent="0.35">
      <c r="B273" s="25" t="s">
        <v>293</v>
      </c>
      <c r="C273" s="37">
        <v>197390390</v>
      </c>
      <c r="D273" s="35">
        <v>12403</v>
      </c>
      <c r="E273" s="42">
        <v>46302</v>
      </c>
    </row>
    <row r="274" spans="2:5" x14ac:dyDescent="0.35">
      <c r="B274" s="25" t="s">
        <v>294</v>
      </c>
      <c r="C274" s="37">
        <v>197297551</v>
      </c>
      <c r="D274" s="35">
        <v>49184</v>
      </c>
      <c r="E274" s="42">
        <v>46302</v>
      </c>
    </row>
    <row r="275" spans="2:5" x14ac:dyDescent="0.35">
      <c r="B275" s="25" t="s">
        <v>295</v>
      </c>
      <c r="C275" s="37">
        <v>195822711</v>
      </c>
      <c r="D275" s="35">
        <v>109534</v>
      </c>
      <c r="E275" s="42">
        <v>46302</v>
      </c>
    </row>
    <row r="276" spans="2:5" x14ac:dyDescent="0.35">
      <c r="B276" s="25" t="s">
        <v>296</v>
      </c>
      <c r="C276" s="37">
        <v>196027553</v>
      </c>
      <c r="D276" s="35">
        <v>7127</v>
      </c>
      <c r="E276" s="42">
        <v>46302</v>
      </c>
    </row>
    <row r="277" spans="2:5" x14ac:dyDescent="0.35">
      <c r="B277" s="25" t="s">
        <v>297</v>
      </c>
      <c r="C277" s="37">
        <v>179297979</v>
      </c>
      <c r="D277" s="35">
        <v>18525</v>
      </c>
      <c r="E277" s="42">
        <v>46302</v>
      </c>
    </row>
    <row r="278" spans="2:5" x14ac:dyDescent="0.35">
      <c r="B278" s="25" t="s">
        <v>298</v>
      </c>
      <c r="C278" s="37">
        <v>177050780</v>
      </c>
      <c r="D278" s="35">
        <v>13281</v>
      </c>
      <c r="E278" s="42">
        <v>46302</v>
      </c>
    </row>
    <row r="279" spans="2:5" x14ac:dyDescent="0.35">
      <c r="B279" s="25" t="s">
        <v>299</v>
      </c>
      <c r="C279" s="37">
        <v>134458649</v>
      </c>
      <c r="D279" s="35">
        <v>33838</v>
      </c>
      <c r="E279" s="42">
        <v>46302</v>
      </c>
    </row>
    <row r="280" spans="2:5" x14ac:dyDescent="0.35">
      <c r="B280" s="25" t="s">
        <v>300</v>
      </c>
      <c r="C280" s="37">
        <v>196143347</v>
      </c>
      <c r="D280" s="35">
        <v>27502</v>
      </c>
      <c r="E280" s="42">
        <v>46302</v>
      </c>
    </row>
    <row r="281" spans="2:5" x14ac:dyDescent="0.35">
      <c r="B281" s="25" t="s">
        <v>301</v>
      </c>
      <c r="C281" s="37">
        <v>174018903</v>
      </c>
      <c r="D281" s="35">
        <v>10822</v>
      </c>
      <c r="E281" s="42">
        <v>46302</v>
      </c>
    </row>
    <row r="282" spans="2:5" x14ac:dyDescent="0.35">
      <c r="B282" s="25" t="s">
        <v>302</v>
      </c>
      <c r="C282" s="37">
        <v>175823899</v>
      </c>
      <c r="D282" s="35">
        <v>58720</v>
      </c>
      <c r="E282" s="42">
        <v>46302</v>
      </c>
    </row>
    <row r="283" spans="2:5" ht="15" thickBot="1" x14ac:dyDescent="0.4">
      <c r="B283" s="27" t="s">
        <v>303</v>
      </c>
      <c r="C283" s="43">
        <v>196434100</v>
      </c>
      <c r="D283" s="44">
        <v>303185</v>
      </c>
      <c r="E283" s="45">
        <v>46302</v>
      </c>
    </row>
  </sheetData>
  <autoFilter ref="B2:E169" xr:uid="{E888FD0B-2EAA-47E1-9B4E-17E02C5D3214}"/>
  <conditionalFormatting sqref="B1:B1048576">
    <cfRule type="duplicateValues" dxfId="4" priority="4"/>
    <cfRule type="duplicateValues" dxfId="3" priority="5"/>
  </conditionalFormatting>
  <conditionalFormatting sqref="B29:B85">
    <cfRule type="duplicateValues" dxfId="2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FD0B-2EAA-47E1-9B4E-17E02C5D3214}">
  <dimension ref="B1:O169"/>
  <sheetViews>
    <sheetView tabSelected="1" workbookViewId="0">
      <selection activeCell="C9" sqref="C9"/>
    </sheetView>
  </sheetViews>
  <sheetFormatPr defaultRowHeight="14.5" x14ac:dyDescent="0.35"/>
  <cols>
    <col min="1" max="1" width="3.26953125" customWidth="1"/>
    <col min="2" max="2" width="21.7265625" bestFit="1" customWidth="1"/>
    <col min="3" max="3" width="15.7265625" style="1" bestFit="1" customWidth="1"/>
    <col min="4" max="4" width="17.7265625" style="1" bestFit="1" customWidth="1"/>
    <col min="5" max="5" width="22" customWidth="1"/>
    <col min="6" max="6" width="11.7265625" style="2" bestFit="1" customWidth="1"/>
    <col min="7" max="7" width="14.7265625" style="2" bestFit="1" customWidth="1"/>
    <col min="8" max="8" width="10.81640625" bestFit="1" customWidth="1"/>
    <col min="9" max="9" width="21" bestFit="1" customWidth="1"/>
    <col min="10" max="10" width="16.1796875" bestFit="1" customWidth="1"/>
    <col min="11" max="11" width="12.7265625" bestFit="1" customWidth="1"/>
    <col min="12" max="12" width="10.81640625" bestFit="1" customWidth="1"/>
    <col min="13" max="13" width="10.1796875" bestFit="1" customWidth="1"/>
    <col min="14" max="14" width="10.26953125" bestFit="1" customWidth="1"/>
    <col min="15" max="15" width="13.453125" style="3" bestFit="1" customWidth="1"/>
  </cols>
  <sheetData>
    <row r="1" spans="2:15" ht="15" thickBot="1" x14ac:dyDescent="0.4"/>
    <row r="2" spans="2:15" ht="15" thickBot="1" x14ac:dyDescent="0.4">
      <c r="B2" s="15" t="s">
        <v>0</v>
      </c>
      <c r="C2" s="16" t="s">
        <v>304</v>
      </c>
      <c r="D2" s="17" t="s">
        <v>1</v>
      </c>
      <c r="E2" s="18" t="s">
        <v>305</v>
      </c>
      <c r="F2" s="19" t="s">
        <v>2</v>
      </c>
      <c r="G2" s="19" t="s">
        <v>306</v>
      </c>
      <c r="H2" s="18" t="s">
        <v>3</v>
      </c>
      <c r="I2" s="18" t="s">
        <v>307</v>
      </c>
      <c r="J2" s="18" t="s">
        <v>308</v>
      </c>
      <c r="K2" s="18" t="s">
        <v>309</v>
      </c>
      <c r="L2" s="18" t="s">
        <v>310</v>
      </c>
      <c r="M2" s="18" t="s">
        <v>311</v>
      </c>
      <c r="N2" s="18" t="s">
        <v>312</v>
      </c>
      <c r="O2" s="20" t="s">
        <v>313</v>
      </c>
    </row>
    <row r="3" spans="2:15" x14ac:dyDescent="0.35">
      <c r="B3" s="21" t="s">
        <v>4</v>
      </c>
      <c r="C3" s="10" t="s">
        <v>314</v>
      </c>
      <c r="D3" s="11">
        <v>171355817</v>
      </c>
      <c r="E3" s="12" t="s">
        <v>315</v>
      </c>
      <c r="F3" s="13">
        <v>68079</v>
      </c>
      <c r="G3" s="13"/>
      <c r="H3" s="12" t="s">
        <v>5</v>
      </c>
      <c r="I3" s="12" t="s">
        <v>316</v>
      </c>
      <c r="J3" s="12">
        <v>865</v>
      </c>
      <c r="K3" s="12">
        <v>2248</v>
      </c>
      <c r="L3" s="14">
        <f>IFERROR(IF(G3="",F3/(J3+K3),G3/(J3+K3)),"Change")</f>
        <v>21.869257950530034</v>
      </c>
      <c r="M3" s="12">
        <f>_xlfn.XLOOKUP(B3,'[3]Station Summary'!$A:$A,'[3]Station Summary'!$E:$E,0)</f>
        <v>84746</v>
      </c>
      <c r="N3" s="12">
        <f>M3*0.03</f>
        <v>2542.38</v>
      </c>
      <c r="O3" s="22">
        <f>IFERROR(J3/(J3+K3),0)</f>
        <v>0.27786700931577257</v>
      </c>
    </row>
    <row r="4" spans="2:15" x14ac:dyDescent="0.35">
      <c r="B4" s="23" t="s">
        <v>6</v>
      </c>
      <c r="C4" s="4">
        <v>92800497122</v>
      </c>
      <c r="D4" s="5">
        <v>197260395</v>
      </c>
      <c r="E4" s="6" t="s">
        <v>315</v>
      </c>
      <c r="F4" s="9">
        <v>47882</v>
      </c>
      <c r="G4" s="9"/>
      <c r="H4" s="6" t="s">
        <v>7</v>
      </c>
      <c r="I4" s="6" t="s">
        <v>316</v>
      </c>
      <c r="J4" s="6">
        <v>559</v>
      </c>
      <c r="K4" s="6">
        <v>1611</v>
      </c>
      <c r="L4" s="8">
        <f t="shared" ref="L4:L67" si="0">IFERROR(IF(G4="",F4/(J4+K4),G4/(J4+K4)),"Change")</f>
        <v>22.065437788018432</v>
      </c>
      <c r="M4" s="6">
        <f>_xlfn.XLOOKUP(B4,'[3]Station Summary'!$A:$A,'[3]Station Summary'!$E:$E,0)</f>
        <v>55345</v>
      </c>
      <c r="N4" s="6">
        <f t="shared" ref="N4:N67" si="1">M4*0.03</f>
        <v>1660.35</v>
      </c>
      <c r="O4" s="24">
        <f t="shared" ref="O4:O67" si="2">IFERROR(J4/(J4+K4),0)</f>
        <v>0.25760368663594468</v>
      </c>
    </row>
    <row r="5" spans="2:15" x14ac:dyDescent="0.35">
      <c r="B5" s="25" t="s">
        <v>8</v>
      </c>
      <c r="C5" s="4" t="s">
        <v>317</v>
      </c>
      <c r="D5" s="5">
        <v>177176670</v>
      </c>
      <c r="E5" s="6" t="s">
        <v>315</v>
      </c>
      <c r="F5" s="7">
        <v>46326</v>
      </c>
      <c r="G5" s="7"/>
      <c r="H5" s="6" t="s">
        <v>7</v>
      </c>
      <c r="I5" s="6" t="s">
        <v>316</v>
      </c>
      <c r="J5" s="6">
        <v>517</v>
      </c>
      <c r="K5" s="6">
        <v>1600</v>
      </c>
      <c r="L5" s="8">
        <f t="shared" si="0"/>
        <v>21.882853094000946</v>
      </c>
      <c r="M5" s="6">
        <f>_xlfn.XLOOKUP(B5,'[3]Station Summary'!$A:$A,'[3]Station Summary'!$E:$E,0)</f>
        <v>42399</v>
      </c>
      <c r="N5" s="6">
        <f t="shared" si="1"/>
        <v>1271.97</v>
      </c>
      <c r="O5" s="24">
        <f t="shared" si="2"/>
        <v>0.24421350968351441</v>
      </c>
    </row>
    <row r="6" spans="2:15" x14ac:dyDescent="0.35">
      <c r="B6" s="25" t="s">
        <v>9</v>
      </c>
      <c r="C6" s="4" t="s">
        <v>318</v>
      </c>
      <c r="D6" s="5">
        <v>174182616</v>
      </c>
      <c r="E6" s="6" t="s">
        <v>315</v>
      </c>
      <c r="F6" s="7">
        <v>12671</v>
      </c>
      <c r="G6" s="7"/>
      <c r="H6" s="6" t="s">
        <v>7</v>
      </c>
      <c r="I6" s="6" t="s">
        <v>316</v>
      </c>
      <c r="J6" s="6">
        <v>231</v>
      </c>
      <c r="K6" s="6">
        <v>376</v>
      </c>
      <c r="L6" s="8">
        <f t="shared" si="0"/>
        <v>20.874794069192752</v>
      </c>
      <c r="M6" s="6">
        <f>_xlfn.XLOOKUP(B6,'[3]Station Summary'!$A:$A,'[3]Station Summary'!$E:$E,0)</f>
        <v>23360</v>
      </c>
      <c r="N6" s="6">
        <f t="shared" si="1"/>
        <v>700.8</v>
      </c>
      <c r="O6" s="24">
        <f t="shared" si="2"/>
        <v>0.38056013179571663</v>
      </c>
    </row>
    <row r="7" spans="2:15" x14ac:dyDescent="0.35">
      <c r="B7" s="25" t="s">
        <v>10</v>
      </c>
      <c r="C7" s="4" t="s">
        <v>319</v>
      </c>
      <c r="D7" s="5">
        <v>178924769</v>
      </c>
      <c r="E7" s="6" t="s">
        <v>315</v>
      </c>
      <c r="F7" s="7">
        <v>73203</v>
      </c>
      <c r="G7" s="7"/>
      <c r="H7" s="6" t="s">
        <v>7</v>
      </c>
      <c r="I7" s="6" t="s">
        <v>316</v>
      </c>
      <c r="J7" s="6">
        <v>1518</v>
      </c>
      <c r="K7" s="6">
        <v>2061</v>
      </c>
      <c r="L7" s="8">
        <f t="shared" si="0"/>
        <v>20.453478625314332</v>
      </c>
      <c r="M7" s="6">
        <f>_xlfn.XLOOKUP(B7,'[3]Station Summary'!$A:$A,'[3]Station Summary'!$E:$E,0)</f>
        <v>92904</v>
      </c>
      <c r="N7" s="6">
        <f t="shared" si="1"/>
        <v>2787.12</v>
      </c>
      <c r="O7" s="24">
        <f t="shared" si="2"/>
        <v>0.42414082145850796</v>
      </c>
    </row>
    <row r="8" spans="2:15" x14ac:dyDescent="0.35">
      <c r="B8" s="25" t="s">
        <v>11</v>
      </c>
      <c r="C8" s="4" t="s">
        <v>320</v>
      </c>
      <c r="D8" s="5">
        <v>177424795</v>
      </c>
      <c r="E8" s="6" t="s">
        <v>321</v>
      </c>
      <c r="F8" s="7">
        <v>76801</v>
      </c>
      <c r="G8" s="7"/>
      <c r="H8" s="6" t="s">
        <v>7</v>
      </c>
      <c r="I8" s="6" t="s">
        <v>316</v>
      </c>
      <c r="J8" s="6">
        <v>753</v>
      </c>
      <c r="K8" s="6">
        <v>2671</v>
      </c>
      <c r="L8" s="8">
        <f t="shared" si="0"/>
        <v>22.43019859813084</v>
      </c>
      <c r="M8" s="6">
        <f>_xlfn.XLOOKUP(B8,'[3]Station Summary'!$A:$A,'[3]Station Summary'!$E:$E,0)</f>
        <v>92264</v>
      </c>
      <c r="N8" s="6">
        <f t="shared" si="1"/>
        <v>2767.92</v>
      </c>
      <c r="O8" s="24">
        <f t="shared" si="2"/>
        <v>0.21991822429906541</v>
      </c>
    </row>
    <row r="9" spans="2:15" x14ac:dyDescent="0.35">
      <c r="B9" s="25" t="s">
        <v>12</v>
      </c>
      <c r="C9" s="4" t="s">
        <v>322</v>
      </c>
      <c r="D9" s="5">
        <v>191689043</v>
      </c>
      <c r="E9" s="6" t="s">
        <v>315</v>
      </c>
      <c r="F9" s="7">
        <v>24740</v>
      </c>
      <c r="G9" s="7"/>
      <c r="H9" s="6" t="s">
        <v>7</v>
      </c>
      <c r="I9" s="6" t="s">
        <v>316</v>
      </c>
      <c r="J9" s="6">
        <v>340</v>
      </c>
      <c r="K9" s="6">
        <v>814</v>
      </c>
      <c r="L9" s="8">
        <f t="shared" si="0"/>
        <v>21.43847487001733</v>
      </c>
      <c r="M9" s="6">
        <f>_xlfn.XLOOKUP(B9,'[3]Station Summary'!$A:$A,'[3]Station Summary'!$E:$E,0)</f>
        <v>31018</v>
      </c>
      <c r="N9" s="6">
        <f t="shared" si="1"/>
        <v>930.54</v>
      </c>
      <c r="O9" s="24">
        <f t="shared" si="2"/>
        <v>0.29462738301559793</v>
      </c>
    </row>
    <row r="10" spans="2:15" x14ac:dyDescent="0.35">
      <c r="B10" s="25" t="s">
        <v>13</v>
      </c>
      <c r="C10" s="4" t="s">
        <v>323</v>
      </c>
      <c r="D10" s="5">
        <v>194966212</v>
      </c>
      <c r="E10" s="6" t="s">
        <v>315</v>
      </c>
      <c r="F10" s="7">
        <v>19829</v>
      </c>
      <c r="G10" s="7"/>
      <c r="H10" s="6" t="s">
        <v>7</v>
      </c>
      <c r="I10" s="6" t="s">
        <v>316</v>
      </c>
      <c r="J10" s="6">
        <v>202</v>
      </c>
      <c r="K10" s="6">
        <v>685</v>
      </c>
      <c r="L10" s="8">
        <f t="shared" si="0"/>
        <v>22.35512965050733</v>
      </c>
      <c r="M10" s="6">
        <f>_xlfn.XLOOKUP(B10,'[3]Station Summary'!$A:$A,'[3]Station Summary'!$E:$E,0)</f>
        <v>24294</v>
      </c>
      <c r="N10" s="6">
        <f t="shared" si="1"/>
        <v>728.81999999999994</v>
      </c>
      <c r="O10" s="24">
        <f t="shared" si="2"/>
        <v>0.22773393461104849</v>
      </c>
    </row>
    <row r="11" spans="2:15" x14ac:dyDescent="0.35">
      <c r="B11" s="25" t="s">
        <v>14</v>
      </c>
      <c r="C11" s="4" t="s">
        <v>324</v>
      </c>
      <c r="D11" s="5">
        <v>178524724</v>
      </c>
      <c r="E11" s="6" t="s">
        <v>315</v>
      </c>
      <c r="F11" s="7">
        <v>939</v>
      </c>
      <c r="G11" s="7">
        <v>31135</v>
      </c>
      <c r="H11" s="6" t="s">
        <v>7</v>
      </c>
      <c r="I11" s="6" t="s">
        <v>316</v>
      </c>
      <c r="J11" s="6">
        <v>475</v>
      </c>
      <c r="K11" s="6">
        <v>980</v>
      </c>
      <c r="L11" s="8">
        <f t="shared" si="0"/>
        <v>21.398625429553263</v>
      </c>
      <c r="M11" s="6">
        <f>_xlfn.XLOOKUP(B11,'[3]Station Summary'!$A:$A,'[3]Station Summary'!$E:$E,0)</f>
        <v>30135</v>
      </c>
      <c r="N11" s="6">
        <f t="shared" si="1"/>
        <v>904.05</v>
      </c>
      <c r="O11" s="24">
        <f t="shared" si="2"/>
        <v>0.32646048109965636</v>
      </c>
    </row>
    <row r="12" spans="2:15" x14ac:dyDescent="0.35">
      <c r="B12" s="25" t="s">
        <v>15</v>
      </c>
      <c r="C12" s="4" t="s">
        <v>325</v>
      </c>
      <c r="D12" s="5">
        <v>196390862</v>
      </c>
      <c r="E12" s="6" t="s">
        <v>315</v>
      </c>
      <c r="F12" s="7">
        <v>45501</v>
      </c>
      <c r="G12" s="7"/>
      <c r="H12" s="6" t="s">
        <v>7</v>
      </c>
      <c r="I12" s="6" t="s">
        <v>316</v>
      </c>
      <c r="J12" s="6">
        <v>606</v>
      </c>
      <c r="K12" s="6">
        <v>1504</v>
      </c>
      <c r="L12" s="8">
        <f t="shared" si="0"/>
        <v>21.564454976303317</v>
      </c>
      <c r="M12" s="6">
        <f>_xlfn.XLOOKUP(B12,'[3]Station Summary'!$A:$A,'[3]Station Summary'!$E:$E,0)</f>
        <v>47571</v>
      </c>
      <c r="N12" s="6">
        <f t="shared" si="1"/>
        <v>1427.1299999999999</v>
      </c>
      <c r="O12" s="24">
        <f t="shared" si="2"/>
        <v>0.28720379146919434</v>
      </c>
    </row>
    <row r="13" spans="2:15" x14ac:dyDescent="0.35">
      <c r="B13" s="25" t="s">
        <v>16</v>
      </c>
      <c r="C13" s="4" t="s">
        <v>326</v>
      </c>
      <c r="D13" s="5">
        <v>173935552</v>
      </c>
      <c r="E13" s="6" t="s">
        <v>315</v>
      </c>
      <c r="F13" s="7">
        <v>110675</v>
      </c>
      <c r="G13" s="7"/>
      <c r="H13" s="6" t="s">
        <v>7</v>
      </c>
      <c r="I13" s="6" t="s">
        <v>316</v>
      </c>
      <c r="J13" s="6">
        <v>1450</v>
      </c>
      <c r="K13" s="6">
        <v>3628</v>
      </c>
      <c r="L13" s="8">
        <f t="shared" si="0"/>
        <v>21.794998030720755</v>
      </c>
      <c r="M13" s="6">
        <f>_xlfn.XLOOKUP(B13,'[3]Station Summary'!$A:$A,'[3]Station Summary'!$E:$E,0)</f>
        <v>130155</v>
      </c>
      <c r="N13" s="6">
        <f t="shared" si="1"/>
        <v>3904.6499999999996</v>
      </c>
      <c r="O13" s="24">
        <f t="shared" si="2"/>
        <v>0.28554549035053173</v>
      </c>
    </row>
    <row r="14" spans="2:15" x14ac:dyDescent="0.35">
      <c r="B14" s="23" t="s">
        <v>17</v>
      </c>
      <c r="C14" s="4">
        <v>37288296595</v>
      </c>
      <c r="D14" s="5" t="s">
        <v>18</v>
      </c>
      <c r="E14" s="6" t="s">
        <v>315</v>
      </c>
      <c r="F14" s="9">
        <v>80212</v>
      </c>
      <c r="G14" s="9"/>
      <c r="H14" s="6" t="s">
        <v>7</v>
      </c>
      <c r="I14" s="6" t="s">
        <v>316</v>
      </c>
      <c r="J14" s="6">
        <v>1144</v>
      </c>
      <c r="K14" s="6">
        <v>2573</v>
      </c>
      <c r="L14" s="8">
        <f t="shared" si="0"/>
        <v>21.579768630616087</v>
      </c>
      <c r="M14" s="6">
        <f>_xlfn.XLOOKUP(B14,'[3]Station Summary'!$A:$A,'[3]Station Summary'!$E:$E,0)</f>
        <v>93615</v>
      </c>
      <c r="N14" s="6">
        <f t="shared" si="1"/>
        <v>2808.45</v>
      </c>
      <c r="O14" s="24">
        <f t="shared" si="2"/>
        <v>0.30777508743610438</v>
      </c>
    </row>
    <row r="15" spans="2:15" x14ac:dyDescent="0.35">
      <c r="B15" s="25" t="s">
        <v>19</v>
      </c>
      <c r="C15" s="4" t="s">
        <v>327</v>
      </c>
      <c r="D15" s="5">
        <v>175308556</v>
      </c>
      <c r="E15" s="6" t="s">
        <v>315</v>
      </c>
      <c r="F15" s="7">
        <v>12578</v>
      </c>
      <c r="G15" s="7"/>
      <c r="H15" s="6" t="s">
        <v>7</v>
      </c>
      <c r="I15" s="6" t="s">
        <v>316</v>
      </c>
      <c r="J15" s="6">
        <v>163</v>
      </c>
      <c r="K15" s="6">
        <v>420</v>
      </c>
      <c r="L15" s="8">
        <f t="shared" si="0"/>
        <v>21.574614065180103</v>
      </c>
      <c r="M15" s="6">
        <f>_xlfn.XLOOKUP(B15,'[3]Station Summary'!$A:$A,'[3]Station Summary'!$E:$E,0)</f>
        <v>17074</v>
      </c>
      <c r="N15" s="6">
        <f t="shared" si="1"/>
        <v>512.22</v>
      </c>
      <c r="O15" s="24">
        <f t="shared" si="2"/>
        <v>0.27958833619210977</v>
      </c>
    </row>
    <row r="16" spans="2:15" x14ac:dyDescent="0.35">
      <c r="B16" s="25" t="s">
        <v>20</v>
      </c>
      <c r="C16" s="4" t="s">
        <v>328</v>
      </c>
      <c r="D16" s="5">
        <v>195446828</v>
      </c>
      <c r="E16" s="6" t="s">
        <v>329</v>
      </c>
      <c r="F16" s="7">
        <v>7039</v>
      </c>
      <c r="G16" s="7">
        <v>7123</v>
      </c>
      <c r="H16" s="6" t="s">
        <v>7</v>
      </c>
      <c r="I16" s="6" t="s">
        <v>316</v>
      </c>
      <c r="J16" s="6">
        <v>105</v>
      </c>
      <c r="K16" s="6">
        <v>324</v>
      </c>
      <c r="L16" s="8">
        <f t="shared" si="0"/>
        <v>16.603729603729604</v>
      </c>
      <c r="M16" s="6">
        <f>_xlfn.XLOOKUP(B16,'[3]Station Summary'!$A:$A,'[3]Station Summary'!$E:$E,0)</f>
        <v>4274</v>
      </c>
      <c r="N16" s="6">
        <f t="shared" si="1"/>
        <v>128.22</v>
      </c>
      <c r="O16" s="24">
        <f t="shared" si="2"/>
        <v>0.24475524475524477</v>
      </c>
    </row>
    <row r="17" spans="2:15" x14ac:dyDescent="0.35">
      <c r="B17" s="25" t="s">
        <v>21</v>
      </c>
      <c r="C17" s="4" t="s">
        <v>330</v>
      </c>
      <c r="D17" s="5">
        <v>32402869</v>
      </c>
      <c r="E17" s="6" t="s">
        <v>331</v>
      </c>
      <c r="F17" s="7">
        <v>14969</v>
      </c>
      <c r="G17" s="7"/>
      <c r="H17" s="6" t="s">
        <v>22</v>
      </c>
      <c r="I17" s="6" t="s">
        <v>332</v>
      </c>
      <c r="J17" s="6"/>
      <c r="K17" s="6">
        <v>541</v>
      </c>
      <c r="L17" s="8">
        <f t="shared" si="0"/>
        <v>27.669131238447321</v>
      </c>
      <c r="M17" s="6">
        <f>_xlfn.XLOOKUP(B17,'[3]Station Summary'!$A:$A,'[3]Station Summary'!$E:$E,0)</f>
        <v>12349</v>
      </c>
      <c r="N17" s="6">
        <f t="shared" si="1"/>
        <v>370.46999999999997</v>
      </c>
      <c r="O17" s="24">
        <f t="shared" si="2"/>
        <v>0</v>
      </c>
    </row>
    <row r="18" spans="2:15" x14ac:dyDescent="0.35">
      <c r="B18" s="25" t="s">
        <v>23</v>
      </c>
      <c r="C18" s="4" t="s">
        <v>333</v>
      </c>
      <c r="D18" s="5">
        <v>177180906</v>
      </c>
      <c r="E18" s="6" t="s">
        <v>315</v>
      </c>
      <c r="F18" s="7">
        <v>54559</v>
      </c>
      <c r="G18" s="7"/>
      <c r="H18" s="6" t="s">
        <v>7</v>
      </c>
      <c r="I18" s="6" t="s">
        <v>316</v>
      </c>
      <c r="J18" s="6">
        <v>572</v>
      </c>
      <c r="K18" s="6">
        <v>1875</v>
      </c>
      <c r="L18" s="8">
        <f t="shared" si="0"/>
        <v>22.296281160604821</v>
      </c>
      <c r="M18" s="6">
        <f>_xlfn.XLOOKUP(B18,'[3]Station Summary'!$A:$A,'[3]Station Summary'!$E:$E,0)</f>
        <v>55145</v>
      </c>
      <c r="N18" s="6">
        <f t="shared" si="1"/>
        <v>1654.35</v>
      </c>
      <c r="O18" s="24">
        <f t="shared" si="2"/>
        <v>0.23375561912545975</v>
      </c>
    </row>
    <row r="19" spans="2:15" x14ac:dyDescent="0.35">
      <c r="B19" s="25" t="s">
        <v>24</v>
      </c>
      <c r="C19" s="4" t="s">
        <v>334</v>
      </c>
      <c r="D19" s="5">
        <v>178110639</v>
      </c>
      <c r="E19" s="6" t="s">
        <v>315</v>
      </c>
      <c r="F19" s="7">
        <v>52476</v>
      </c>
      <c r="G19" s="7"/>
      <c r="H19" s="6" t="s">
        <v>7</v>
      </c>
      <c r="I19" s="6" t="s">
        <v>316</v>
      </c>
      <c r="J19" s="6">
        <v>706</v>
      </c>
      <c r="K19" s="6">
        <v>1709</v>
      </c>
      <c r="L19" s="8">
        <f t="shared" si="0"/>
        <v>21.72919254658385</v>
      </c>
      <c r="M19" s="6">
        <f>_xlfn.XLOOKUP(B19,'[3]Station Summary'!$A:$A,'[3]Station Summary'!$E:$E,0)</f>
        <v>61923</v>
      </c>
      <c r="N19" s="6">
        <f t="shared" si="1"/>
        <v>1857.6899999999998</v>
      </c>
      <c r="O19" s="24">
        <f t="shared" si="2"/>
        <v>0.29233954451345756</v>
      </c>
    </row>
    <row r="20" spans="2:15" x14ac:dyDescent="0.35">
      <c r="B20" s="25" t="s">
        <v>25</v>
      </c>
      <c r="C20" s="4" t="s">
        <v>335</v>
      </c>
      <c r="D20" s="5">
        <v>179653007</v>
      </c>
      <c r="E20" s="6" t="s">
        <v>315</v>
      </c>
      <c r="F20" s="7">
        <v>52675</v>
      </c>
      <c r="G20" s="7">
        <v>124805</v>
      </c>
      <c r="H20" s="6" t="s">
        <v>7</v>
      </c>
      <c r="I20" s="6" t="s">
        <v>316</v>
      </c>
      <c r="J20" s="6">
        <v>1850</v>
      </c>
      <c r="K20" s="6">
        <v>3961</v>
      </c>
      <c r="L20" s="8">
        <f t="shared" si="0"/>
        <v>21.477370504216143</v>
      </c>
      <c r="M20" s="6">
        <f>_xlfn.XLOOKUP(B20,'[3]Station Summary'!$A:$A,'[3]Station Summary'!$E:$E,0)</f>
        <v>159562</v>
      </c>
      <c r="N20" s="6">
        <f t="shared" si="1"/>
        <v>4786.8599999999997</v>
      </c>
      <c r="O20" s="24">
        <f t="shared" si="2"/>
        <v>0.31836172775770089</v>
      </c>
    </row>
    <row r="21" spans="2:15" x14ac:dyDescent="0.35">
      <c r="B21" s="23" t="s">
        <v>26</v>
      </c>
      <c r="C21" s="4">
        <v>25700585406</v>
      </c>
      <c r="D21" s="5">
        <v>176331642</v>
      </c>
      <c r="E21" s="6" t="s">
        <v>315</v>
      </c>
      <c r="F21" s="9">
        <v>140553</v>
      </c>
      <c r="G21" s="9"/>
      <c r="H21" s="6" t="s">
        <v>7</v>
      </c>
      <c r="I21" s="6" t="s">
        <v>316</v>
      </c>
      <c r="J21" s="6">
        <v>1939</v>
      </c>
      <c r="K21" s="6">
        <v>4613</v>
      </c>
      <c r="L21" s="8">
        <f t="shared" si="0"/>
        <v>21.451923076923077</v>
      </c>
      <c r="M21" s="6">
        <f>_xlfn.XLOOKUP(B21,'[3]Station Summary'!$A:$A,'[3]Station Summary'!$E:$E,0)</f>
        <v>110784</v>
      </c>
      <c r="N21" s="6">
        <f t="shared" si="1"/>
        <v>3323.52</v>
      </c>
      <c r="O21" s="24">
        <f t="shared" si="2"/>
        <v>0.29594017094017094</v>
      </c>
    </row>
    <row r="22" spans="2:15" x14ac:dyDescent="0.35">
      <c r="B22" s="25" t="s">
        <v>27</v>
      </c>
      <c r="C22" s="4" t="s">
        <v>336</v>
      </c>
      <c r="D22" s="5">
        <v>181063551</v>
      </c>
      <c r="E22" s="6" t="s">
        <v>315</v>
      </c>
      <c r="F22" s="7">
        <v>162913</v>
      </c>
      <c r="G22" s="7"/>
      <c r="H22" s="6" t="s">
        <v>7</v>
      </c>
      <c r="I22" s="6" t="s">
        <v>316</v>
      </c>
      <c r="J22" s="6">
        <v>3264</v>
      </c>
      <c r="K22" s="6">
        <v>4656</v>
      </c>
      <c r="L22" s="8">
        <f t="shared" si="0"/>
        <v>20.569823232323234</v>
      </c>
      <c r="M22" s="6">
        <f>_xlfn.XLOOKUP(B22,'[3]Station Summary'!$A:$A,'[3]Station Summary'!$E:$E,0)</f>
        <v>218699</v>
      </c>
      <c r="N22" s="6">
        <f t="shared" si="1"/>
        <v>6560.9699999999993</v>
      </c>
      <c r="O22" s="24">
        <f t="shared" si="2"/>
        <v>0.41212121212121211</v>
      </c>
    </row>
    <row r="23" spans="2:15" x14ac:dyDescent="0.35">
      <c r="B23" s="25" t="s">
        <v>28</v>
      </c>
      <c r="C23" s="4" t="s">
        <v>337</v>
      </c>
      <c r="D23" s="5">
        <v>179805304</v>
      </c>
      <c r="E23" s="6" t="s">
        <v>338</v>
      </c>
      <c r="F23" s="7">
        <v>210758</v>
      </c>
      <c r="G23" s="7"/>
      <c r="H23" s="6" t="s">
        <v>29</v>
      </c>
      <c r="I23" s="6" t="s">
        <v>339</v>
      </c>
      <c r="J23" s="6"/>
      <c r="K23" s="6">
        <v>8889</v>
      </c>
      <c r="L23" s="8">
        <f t="shared" si="0"/>
        <v>23.709978625267183</v>
      </c>
      <c r="M23" s="6">
        <f>_xlfn.XLOOKUP(B23,'[3]Station Summary'!$A:$A,'[3]Station Summary'!$E:$E,0)</f>
        <v>66285</v>
      </c>
      <c r="N23" s="6">
        <f t="shared" si="1"/>
        <v>1988.55</v>
      </c>
      <c r="O23" s="24">
        <f t="shared" si="2"/>
        <v>0</v>
      </c>
    </row>
    <row r="24" spans="2:15" x14ac:dyDescent="0.35">
      <c r="B24" s="25" t="s">
        <v>30</v>
      </c>
      <c r="C24" s="4" t="s">
        <v>340</v>
      </c>
      <c r="D24" s="5">
        <v>161712833</v>
      </c>
      <c r="E24" s="6" t="s">
        <v>315</v>
      </c>
      <c r="F24" s="7">
        <v>323882</v>
      </c>
      <c r="G24" s="7">
        <v>329295</v>
      </c>
      <c r="H24" s="6" t="s">
        <v>5</v>
      </c>
      <c r="I24" s="6" t="s">
        <v>316</v>
      </c>
      <c r="J24" s="6">
        <v>8595</v>
      </c>
      <c r="K24" s="6">
        <v>8201</v>
      </c>
      <c r="L24" s="8">
        <f t="shared" si="0"/>
        <v>19.605560847820911</v>
      </c>
      <c r="M24" s="6">
        <f>_xlfn.XLOOKUP(B24,'[3]Station Summary'!$A:$A,'[3]Station Summary'!$E:$E,0)</f>
        <v>547439</v>
      </c>
      <c r="N24" s="6">
        <f t="shared" si="1"/>
        <v>16423.169999999998</v>
      </c>
      <c r="O24" s="24">
        <f t="shared" si="2"/>
        <v>0.51172898309121218</v>
      </c>
    </row>
    <row r="25" spans="2:15" x14ac:dyDescent="0.35">
      <c r="B25" s="25" t="s">
        <v>31</v>
      </c>
      <c r="C25" s="4" t="s">
        <v>341</v>
      </c>
      <c r="D25" s="5">
        <v>163611201</v>
      </c>
      <c r="E25" s="6" t="s">
        <v>315</v>
      </c>
      <c r="F25" s="7">
        <v>399182</v>
      </c>
      <c r="G25" s="7">
        <v>405285</v>
      </c>
      <c r="H25" s="6" t="s">
        <v>5</v>
      </c>
      <c r="I25" s="6" t="s">
        <v>316</v>
      </c>
      <c r="J25" s="6">
        <v>10127</v>
      </c>
      <c r="K25" s="6">
        <v>10367</v>
      </c>
      <c r="L25" s="8">
        <f t="shared" si="0"/>
        <v>19.775788035522591</v>
      </c>
      <c r="M25" s="6">
        <f>_xlfn.XLOOKUP(B25,'[3]Station Summary'!$A:$A,'[3]Station Summary'!$E:$E,0)</f>
        <v>634429</v>
      </c>
      <c r="N25" s="6">
        <f t="shared" si="1"/>
        <v>19032.87</v>
      </c>
      <c r="O25" s="24">
        <f t="shared" si="2"/>
        <v>0.494144627695911</v>
      </c>
    </row>
    <row r="26" spans="2:15" x14ac:dyDescent="0.35">
      <c r="B26" s="25" t="s">
        <v>32</v>
      </c>
      <c r="C26" s="4" t="s">
        <v>342</v>
      </c>
      <c r="D26" s="5">
        <v>195243955</v>
      </c>
      <c r="E26" s="6" t="s">
        <v>329</v>
      </c>
      <c r="F26" s="7">
        <v>6809</v>
      </c>
      <c r="G26" s="7">
        <v>6927</v>
      </c>
      <c r="H26" s="6" t="s">
        <v>7</v>
      </c>
      <c r="I26" s="6" t="s">
        <v>316</v>
      </c>
      <c r="J26" s="6">
        <v>129</v>
      </c>
      <c r="K26" s="6">
        <v>324</v>
      </c>
      <c r="L26" s="8">
        <f t="shared" si="0"/>
        <v>15.291390728476822</v>
      </c>
      <c r="M26" s="6">
        <f>_xlfn.XLOOKUP(B26,'[3]Station Summary'!$A:$A,'[3]Station Summary'!$E:$E,0)</f>
        <v>6865</v>
      </c>
      <c r="N26" s="6">
        <f t="shared" si="1"/>
        <v>205.95</v>
      </c>
      <c r="O26" s="24">
        <f t="shared" si="2"/>
        <v>0.28476821192052981</v>
      </c>
    </row>
    <row r="27" spans="2:15" x14ac:dyDescent="0.35">
      <c r="B27" s="25" t="s">
        <v>33</v>
      </c>
      <c r="C27" s="4" t="s">
        <v>343</v>
      </c>
      <c r="D27" s="5">
        <v>178973909</v>
      </c>
      <c r="E27" s="6" t="s">
        <v>315</v>
      </c>
      <c r="F27" s="7">
        <v>196153</v>
      </c>
      <c r="G27" s="7"/>
      <c r="H27" s="6" t="s">
        <v>7</v>
      </c>
      <c r="I27" s="6" t="s">
        <v>316</v>
      </c>
      <c r="J27" s="6">
        <v>3552</v>
      </c>
      <c r="K27" s="6">
        <v>5944</v>
      </c>
      <c r="L27" s="8">
        <f t="shared" si="0"/>
        <v>20.656381634372366</v>
      </c>
      <c r="M27" s="6">
        <f>_xlfn.XLOOKUP(B27,'[3]Station Summary'!$A:$A,'[3]Station Summary'!$E:$E,0)</f>
        <v>263839</v>
      </c>
      <c r="N27" s="6">
        <f t="shared" si="1"/>
        <v>7915.17</v>
      </c>
      <c r="O27" s="24">
        <f t="shared" si="2"/>
        <v>0.37405223251895536</v>
      </c>
    </row>
    <row r="28" spans="2:15" x14ac:dyDescent="0.35">
      <c r="B28" s="25" t="s">
        <v>34</v>
      </c>
      <c r="C28" s="4" t="s">
        <v>344</v>
      </c>
      <c r="D28" s="5">
        <v>37059203</v>
      </c>
      <c r="E28" s="6" t="s">
        <v>345</v>
      </c>
      <c r="F28" s="7">
        <v>18915</v>
      </c>
      <c r="G28" s="7"/>
      <c r="H28" s="6" t="s">
        <v>5</v>
      </c>
      <c r="I28" s="6" t="s">
        <v>346</v>
      </c>
      <c r="J28" s="6"/>
      <c r="K28" s="6">
        <v>671</v>
      </c>
      <c r="L28" s="8">
        <f t="shared" si="0"/>
        <v>28.189269746646797</v>
      </c>
      <c r="M28" s="6">
        <f>_xlfn.XLOOKUP(B28,'[3]Station Summary'!$A:$A,'[3]Station Summary'!$E:$E,0)</f>
        <v>14180</v>
      </c>
      <c r="N28" s="6">
        <f t="shared" si="1"/>
        <v>425.4</v>
      </c>
      <c r="O28" s="24">
        <f t="shared" si="2"/>
        <v>0</v>
      </c>
    </row>
    <row r="29" spans="2:15" x14ac:dyDescent="0.35">
      <c r="B29" s="25" t="s">
        <v>35</v>
      </c>
      <c r="C29" s="4" t="s">
        <v>347</v>
      </c>
      <c r="D29" s="5">
        <v>143714950</v>
      </c>
      <c r="E29" s="6" t="s">
        <v>348</v>
      </c>
      <c r="F29" s="7">
        <v>5202</v>
      </c>
      <c r="G29" s="7"/>
      <c r="H29" s="6" t="s">
        <v>29</v>
      </c>
      <c r="I29" s="6"/>
      <c r="J29" s="6"/>
      <c r="K29" s="6">
        <v>188</v>
      </c>
      <c r="L29" s="8">
        <f t="shared" si="0"/>
        <v>27.670212765957448</v>
      </c>
      <c r="M29" s="6">
        <f>_xlfn.XLOOKUP(B29,'[3]Station Summary'!$A:$A,'[3]Station Summary'!$E:$E,0)</f>
        <v>4667</v>
      </c>
      <c r="N29" s="6">
        <f t="shared" si="1"/>
        <v>140.01</v>
      </c>
      <c r="O29" s="24">
        <f t="shared" si="2"/>
        <v>0</v>
      </c>
    </row>
    <row r="30" spans="2:15" x14ac:dyDescent="0.35">
      <c r="B30" s="25" t="s">
        <v>36</v>
      </c>
      <c r="C30" s="4" t="s">
        <v>349</v>
      </c>
      <c r="D30" s="5">
        <v>178503900</v>
      </c>
      <c r="E30" s="6" t="s">
        <v>315</v>
      </c>
      <c r="F30" s="7">
        <v>6339</v>
      </c>
      <c r="G30" s="7"/>
      <c r="H30" s="6" t="s">
        <v>7</v>
      </c>
      <c r="I30" s="6" t="s">
        <v>316</v>
      </c>
      <c r="J30" s="6">
        <v>79</v>
      </c>
      <c r="K30" s="6">
        <v>218</v>
      </c>
      <c r="L30" s="8">
        <f t="shared" si="0"/>
        <v>21.343434343434343</v>
      </c>
      <c r="M30" s="6">
        <f>_xlfn.XLOOKUP(B30,'[3]Station Summary'!$A:$A,'[3]Station Summary'!$E:$E,0)</f>
        <v>6968</v>
      </c>
      <c r="N30" s="6">
        <f t="shared" si="1"/>
        <v>209.04</v>
      </c>
      <c r="O30" s="24">
        <f t="shared" si="2"/>
        <v>0.265993265993266</v>
      </c>
    </row>
    <row r="31" spans="2:15" x14ac:dyDescent="0.35">
      <c r="B31" s="25" t="s">
        <v>37</v>
      </c>
      <c r="C31" s="4" t="s">
        <v>350</v>
      </c>
      <c r="D31" s="5">
        <v>175108315</v>
      </c>
      <c r="E31" s="6" t="s">
        <v>315</v>
      </c>
      <c r="F31" s="7">
        <v>46075</v>
      </c>
      <c r="G31" s="7"/>
      <c r="H31" s="6" t="s">
        <v>7</v>
      </c>
      <c r="I31" s="6" t="s">
        <v>346</v>
      </c>
      <c r="J31" s="6"/>
      <c r="K31" s="6">
        <v>2302</v>
      </c>
      <c r="L31" s="8">
        <f t="shared" si="0"/>
        <v>20.015204170286708</v>
      </c>
      <c r="M31" s="6">
        <f>_xlfn.XLOOKUP(B31,'[3]Station Summary'!$A:$A,'[3]Station Summary'!$E:$E,0)</f>
        <v>42674</v>
      </c>
      <c r="N31" s="6">
        <f t="shared" si="1"/>
        <v>1280.22</v>
      </c>
      <c r="O31" s="24">
        <f t="shared" si="2"/>
        <v>0</v>
      </c>
    </row>
    <row r="32" spans="2:15" x14ac:dyDescent="0.35">
      <c r="B32" s="25" t="s">
        <v>38</v>
      </c>
      <c r="C32" s="4" t="s">
        <v>351</v>
      </c>
      <c r="D32" s="5">
        <v>171311998</v>
      </c>
      <c r="E32" s="6" t="s">
        <v>315</v>
      </c>
      <c r="F32" s="7">
        <v>289434</v>
      </c>
      <c r="G32" s="7">
        <v>298513</v>
      </c>
      <c r="H32" s="6" t="s">
        <v>5</v>
      </c>
      <c r="I32" s="6" t="s">
        <v>316</v>
      </c>
      <c r="J32" s="6">
        <v>7198</v>
      </c>
      <c r="K32" s="6">
        <v>7794</v>
      </c>
      <c r="L32" s="8">
        <f t="shared" si="0"/>
        <v>19.91148612593383</v>
      </c>
      <c r="M32" s="6">
        <f>_xlfn.XLOOKUP(B32,'[3]Station Summary'!$A:$A,'[3]Station Summary'!$E:$E,0)</f>
        <v>496104</v>
      </c>
      <c r="N32" s="6">
        <f t="shared" si="1"/>
        <v>14883.119999999999</v>
      </c>
      <c r="O32" s="24">
        <f t="shared" si="2"/>
        <v>0.48012273212379936</v>
      </c>
    </row>
    <row r="33" spans="2:15" x14ac:dyDescent="0.35">
      <c r="B33" s="25" t="s">
        <v>39</v>
      </c>
      <c r="C33" s="4" t="s">
        <v>352</v>
      </c>
      <c r="D33" s="5">
        <v>188663791</v>
      </c>
      <c r="E33" s="6" t="s">
        <v>329</v>
      </c>
      <c r="F33" s="7">
        <v>99151</v>
      </c>
      <c r="G33" s="7"/>
      <c r="H33" s="6" t="s">
        <v>7</v>
      </c>
      <c r="I33" s="6" t="s">
        <v>316</v>
      </c>
      <c r="J33" s="6">
        <v>1685</v>
      </c>
      <c r="K33" s="6">
        <v>3095</v>
      </c>
      <c r="L33" s="8">
        <f t="shared" si="0"/>
        <v>20.742887029288703</v>
      </c>
      <c r="M33" s="6">
        <f>_xlfn.XLOOKUP(B33,'[3]Station Summary'!$A:$A,'[3]Station Summary'!$E:$E,0)</f>
        <v>130367</v>
      </c>
      <c r="N33" s="6">
        <f t="shared" si="1"/>
        <v>3911.0099999999998</v>
      </c>
      <c r="O33" s="24">
        <f t="shared" si="2"/>
        <v>0.35251046025104604</v>
      </c>
    </row>
    <row r="34" spans="2:15" x14ac:dyDescent="0.35">
      <c r="B34" s="25" t="s">
        <v>40</v>
      </c>
      <c r="C34" s="4" t="s">
        <v>353</v>
      </c>
      <c r="D34" s="5">
        <v>175557707</v>
      </c>
      <c r="E34" s="6" t="s">
        <v>315</v>
      </c>
      <c r="F34" s="7">
        <v>85551</v>
      </c>
      <c r="G34" s="7"/>
      <c r="H34" s="6" t="s">
        <v>7</v>
      </c>
      <c r="I34" s="6" t="s">
        <v>316</v>
      </c>
      <c r="J34" s="6">
        <v>1191</v>
      </c>
      <c r="K34" s="6">
        <v>2817</v>
      </c>
      <c r="L34" s="8">
        <f t="shared" si="0"/>
        <v>21.345059880239521</v>
      </c>
      <c r="M34" s="6">
        <f>_xlfn.XLOOKUP(B34,'[3]Station Summary'!$A:$A,'[3]Station Summary'!$E:$E,0)</f>
        <v>101832</v>
      </c>
      <c r="N34" s="6">
        <f t="shared" si="1"/>
        <v>3054.96</v>
      </c>
      <c r="O34" s="24">
        <f t="shared" si="2"/>
        <v>0.29715568862275449</v>
      </c>
    </row>
    <row r="35" spans="2:15" x14ac:dyDescent="0.35">
      <c r="B35" s="25" t="s">
        <v>41</v>
      </c>
      <c r="C35" s="4" t="s">
        <v>354</v>
      </c>
      <c r="D35" s="5">
        <v>169225115</v>
      </c>
      <c r="E35" s="6" t="s">
        <v>321</v>
      </c>
      <c r="F35" s="7">
        <v>195483</v>
      </c>
      <c r="G35" s="7"/>
      <c r="H35" s="6" t="s">
        <v>5</v>
      </c>
      <c r="I35" s="6" t="s">
        <v>316</v>
      </c>
      <c r="J35" s="6">
        <v>3131</v>
      </c>
      <c r="K35" s="6">
        <v>6184</v>
      </c>
      <c r="L35" s="8">
        <f t="shared" si="0"/>
        <v>20.985829307568437</v>
      </c>
      <c r="M35" s="6">
        <f>_xlfn.XLOOKUP(B35,'[3]Station Summary'!$A:$A,'[3]Station Summary'!$E:$E,0)</f>
        <v>278203</v>
      </c>
      <c r="N35" s="6">
        <f t="shared" si="1"/>
        <v>8346.09</v>
      </c>
      <c r="O35" s="24">
        <f t="shared" si="2"/>
        <v>0.33612453032742889</v>
      </c>
    </row>
    <row r="36" spans="2:15" x14ac:dyDescent="0.35">
      <c r="B36" s="25" t="s">
        <v>42</v>
      </c>
      <c r="C36" s="4" t="s">
        <v>355</v>
      </c>
      <c r="D36" s="5">
        <v>177343250</v>
      </c>
      <c r="E36" s="6" t="s">
        <v>315</v>
      </c>
      <c r="F36" s="7">
        <v>119129</v>
      </c>
      <c r="G36" s="7">
        <v>120902</v>
      </c>
      <c r="H36" s="6" t="s">
        <v>7</v>
      </c>
      <c r="I36" s="6" t="s">
        <v>316</v>
      </c>
      <c r="J36" s="6">
        <v>2753</v>
      </c>
      <c r="K36" s="6">
        <v>3255</v>
      </c>
      <c r="L36" s="8">
        <f t="shared" si="0"/>
        <v>20.123501997336884</v>
      </c>
      <c r="M36" s="6">
        <f>_xlfn.XLOOKUP(B36,'[3]Station Summary'!$A:$A,'[3]Station Summary'!$E:$E,0)</f>
        <v>157937</v>
      </c>
      <c r="N36" s="6">
        <f t="shared" si="1"/>
        <v>4738.1099999999997</v>
      </c>
      <c r="O36" s="24">
        <f t="shared" si="2"/>
        <v>0.45822237017310252</v>
      </c>
    </row>
    <row r="37" spans="2:15" x14ac:dyDescent="0.35">
      <c r="B37" s="25" t="s">
        <v>43</v>
      </c>
      <c r="C37" s="4" t="s">
        <v>356</v>
      </c>
      <c r="D37" s="5">
        <v>179287208</v>
      </c>
      <c r="E37" s="6" t="s">
        <v>315</v>
      </c>
      <c r="F37" s="7">
        <v>15399</v>
      </c>
      <c r="G37" s="7"/>
      <c r="H37" s="6" t="s">
        <v>7</v>
      </c>
      <c r="I37" s="6" t="s">
        <v>316</v>
      </c>
      <c r="J37" s="6">
        <v>195</v>
      </c>
      <c r="K37" s="6">
        <v>519</v>
      </c>
      <c r="L37" s="8">
        <f t="shared" si="0"/>
        <v>21.567226890756302</v>
      </c>
      <c r="M37" s="6">
        <f>_xlfn.XLOOKUP(B37,'[3]Station Summary'!$A:$A,'[3]Station Summary'!$E:$E,0)</f>
        <v>18342</v>
      </c>
      <c r="N37" s="6">
        <f t="shared" si="1"/>
        <v>550.26</v>
      </c>
      <c r="O37" s="24">
        <f t="shared" si="2"/>
        <v>0.27310924369747897</v>
      </c>
    </row>
    <row r="38" spans="2:15" x14ac:dyDescent="0.35">
      <c r="B38" s="25" t="s">
        <v>44</v>
      </c>
      <c r="C38" s="4" t="s">
        <v>357</v>
      </c>
      <c r="D38" s="5">
        <v>177082631</v>
      </c>
      <c r="E38" s="6" t="s">
        <v>315</v>
      </c>
      <c r="F38" s="7">
        <v>92178</v>
      </c>
      <c r="G38" s="7"/>
      <c r="H38" s="6" t="s">
        <v>7</v>
      </c>
      <c r="I38" s="6" t="s">
        <v>346</v>
      </c>
      <c r="J38" s="6"/>
      <c r="K38" s="6">
        <v>3270</v>
      </c>
      <c r="L38" s="8">
        <f t="shared" si="0"/>
        <v>28.188990825688073</v>
      </c>
      <c r="M38" s="6">
        <f>_xlfn.XLOOKUP(B38,'[3]Station Summary'!$A:$A,'[3]Station Summary'!$E:$E,0)</f>
        <v>85343</v>
      </c>
      <c r="N38" s="6">
        <f t="shared" si="1"/>
        <v>2560.29</v>
      </c>
      <c r="O38" s="24">
        <f t="shared" si="2"/>
        <v>0</v>
      </c>
    </row>
    <row r="39" spans="2:15" x14ac:dyDescent="0.35">
      <c r="B39" s="25" t="s">
        <v>45</v>
      </c>
      <c r="C39" s="4" t="s">
        <v>358</v>
      </c>
      <c r="D39" s="5">
        <v>196656100</v>
      </c>
      <c r="E39" s="6" t="s">
        <v>315</v>
      </c>
      <c r="F39" s="7">
        <v>40938</v>
      </c>
      <c r="G39" s="7"/>
      <c r="H39" s="6" t="s">
        <v>5</v>
      </c>
      <c r="I39" s="6" t="s">
        <v>359</v>
      </c>
      <c r="J39" s="6"/>
      <c r="K39" s="6">
        <v>2041</v>
      </c>
      <c r="L39" s="8">
        <f t="shared" si="0"/>
        <v>20.0578147966683</v>
      </c>
      <c r="M39" s="6">
        <f>_xlfn.XLOOKUP(B39,'[3]Station Summary'!$A:$A,'[3]Station Summary'!$E:$E,0)</f>
        <v>32180</v>
      </c>
      <c r="N39" s="6">
        <f t="shared" si="1"/>
        <v>965.4</v>
      </c>
      <c r="O39" s="24">
        <f t="shared" si="2"/>
        <v>0</v>
      </c>
    </row>
    <row r="40" spans="2:15" x14ac:dyDescent="0.35">
      <c r="B40" s="25" t="s">
        <v>46</v>
      </c>
      <c r="C40" s="4" t="s">
        <v>360</v>
      </c>
      <c r="D40" s="5">
        <v>171108541</v>
      </c>
      <c r="E40" s="6" t="s">
        <v>315</v>
      </c>
      <c r="F40" s="7">
        <v>395543</v>
      </c>
      <c r="G40" s="7">
        <v>401276</v>
      </c>
      <c r="H40" s="6" t="s">
        <v>5</v>
      </c>
      <c r="I40" s="6" t="s">
        <v>316</v>
      </c>
      <c r="J40" s="6">
        <v>8859</v>
      </c>
      <c r="K40" s="6">
        <v>10972</v>
      </c>
      <c r="L40" s="8">
        <f t="shared" si="0"/>
        <v>20.234783924159146</v>
      </c>
      <c r="M40" s="6">
        <f>_xlfn.XLOOKUP(B40,'[3]Station Summary'!$A:$A,'[3]Station Summary'!$E:$E,0)</f>
        <v>642081</v>
      </c>
      <c r="N40" s="6">
        <f t="shared" si="1"/>
        <v>19262.43</v>
      </c>
      <c r="O40" s="24">
        <f t="shared" si="2"/>
        <v>0.44672482476930059</v>
      </c>
    </row>
    <row r="41" spans="2:15" x14ac:dyDescent="0.35">
      <c r="B41" s="25" t="s">
        <v>47</v>
      </c>
      <c r="C41" s="4" t="s">
        <v>361</v>
      </c>
      <c r="D41" s="5">
        <v>178244580</v>
      </c>
      <c r="E41" s="6" t="s">
        <v>315</v>
      </c>
      <c r="F41" s="7">
        <v>191402</v>
      </c>
      <c r="G41" s="7"/>
      <c r="H41" s="6" t="s">
        <v>7</v>
      </c>
      <c r="I41" s="6" t="s">
        <v>316</v>
      </c>
      <c r="J41" s="6">
        <v>4672</v>
      </c>
      <c r="K41" s="6">
        <v>4963</v>
      </c>
      <c r="L41" s="8">
        <f t="shared" si="0"/>
        <v>19.865282823040996</v>
      </c>
      <c r="M41" s="6">
        <f>_xlfn.XLOOKUP(B41,'[3]Station Summary'!$A:$A,'[3]Station Summary'!$E:$E,0)</f>
        <v>269299</v>
      </c>
      <c r="N41" s="6">
        <f t="shared" si="1"/>
        <v>8078.9699999999993</v>
      </c>
      <c r="O41" s="24">
        <f t="shared" si="2"/>
        <v>0.48489880643487288</v>
      </c>
    </row>
    <row r="42" spans="2:15" x14ac:dyDescent="0.35">
      <c r="B42" s="25" t="s">
        <v>48</v>
      </c>
      <c r="C42" s="4" t="s">
        <v>362</v>
      </c>
      <c r="D42" s="5">
        <v>178921567</v>
      </c>
      <c r="E42" s="6" t="s">
        <v>315</v>
      </c>
      <c r="F42" s="7">
        <v>33232</v>
      </c>
      <c r="G42" s="7"/>
      <c r="H42" s="6" t="s">
        <v>7</v>
      </c>
      <c r="I42" s="6" t="s">
        <v>316</v>
      </c>
      <c r="J42" s="6">
        <v>535</v>
      </c>
      <c r="K42" s="6">
        <v>1029</v>
      </c>
      <c r="L42" s="8">
        <f t="shared" si="0"/>
        <v>21.248081841432224</v>
      </c>
      <c r="M42" s="6">
        <f>_xlfn.XLOOKUP(B42,'[3]Station Summary'!$A:$A,'[3]Station Summary'!$E:$E,0)</f>
        <v>41097</v>
      </c>
      <c r="N42" s="6">
        <f t="shared" si="1"/>
        <v>1232.9099999999999</v>
      </c>
      <c r="O42" s="24">
        <f t="shared" si="2"/>
        <v>0.34207161125319691</v>
      </c>
    </row>
    <row r="43" spans="2:15" x14ac:dyDescent="0.35">
      <c r="B43" s="25" t="s">
        <v>49</v>
      </c>
      <c r="C43" s="4" t="s">
        <v>363</v>
      </c>
      <c r="D43" s="5">
        <v>179233772</v>
      </c>
      <c r="E43" s="6" t="s">
        <v>315</v>
      </c>
      <c r="F43" s="7">
        <v>30248</v>
      </c>
      <c r="G43" s="7"/>
      <c r="H43" s="6" t="s">
        <v>7</v>
      </c>
      <c r="I43" s="6" t="s">
        <v>316</v>
      </c>
      <c r="J43" s="6">
        <v>1064</v>
      </c>
      <c r="K43" s="6">
        <v>587</v>
      </c>
      <c r="L43" s="8">
        <f t="shared" si="0"/>
        <v>18.321017565112054</v>
      </c>
      <c r="M43" s="6">
        <f>_xlfn.XLOOKUP(B43,'[3]Station Summary'!$A:$A,'[3]Station Summary'!$E:$E,0)</f>
        <v>25740</v>
      </c>
      <c r="N43" s="6">
        <f t="shared" si="1"/>
        <v>772.19999999999993</v>
      </c>
      <c r="O43" s="24">
        <f t="shared" si="2"/>
        <v>0.64445790430042393</v>
      </c>
    </row>
    <row r="44" spans="2:15" x14ac:dyDescent="0.35">
      <c r="B44" s="25" t="s">
        <v>50</v>
      </c>
      <c r="C44" s="4" t="s">
        <v>364</v>
      </c>
      <c r="D44" s="5">
        <v>178207538</v>
      </c>
      <c r="E44" s="6" t="s">
        <v>315</v>
      </c>
      <c r="F44" s="7">
        <v>117961</v>
      </c>
      <c r="G44" s="7"/>
      <c r="H44" s="6" t="s">
        <v>7</v>
      </c>
      <c r="I44" s="6" t="s">
        <v>316</v>
      </c>
      <c r="J44" s="6">
        <v>1883</v>
      </c>
      <c r="K44" s="6">
        <v>3711</v>
      </c>
      <c r="L44" s="8">
        <f t="shared" si="0"/>
        <v>21.08705756167322</v>
      </c>
      <c r="M44" s="6">
        <f>_xlfn.XLOOKUP(B44,'[3]Station Summary'!$A:$A,'[3]Station Summary'!$E:$E,0)</f>
        <v>146716</v>
      </c>
      <c r="N44" s="6">
        <f t="shared" si="1"/>
        <v>4401.4799999999996</v>
      </c>
      <c r="O44" s="24">
        <f t="shared" si="2"/>
        <v>0.33661065427243475</v>
      </c>
    </row>
    <row r="45" spans="2:15" x14ac:dyDescent="0.35">
      <c r="B45" s="25" t="s">
        <v>51</v>
      </c>
      <c r="C45" s="4" t="s">
        <v>365</v>
      </c>
      <c r="D45" s="5">
        <v>44634887</v>
      </c>
      <c r="E45" s="6" t="s">
        <v>366</v>
      </c>
      <c r="F45" s="7">
        <v>4813</v>
      </c>
      <c r="G45" s="7"/>
      <c r="H45" s="6" t="s">
        <v>52</v>
      </c>
      <c r="I45" s="6" t="s">
        <v>339</v>
      </c>
      <c r="J45" s="6"/>
      <c r="K45" s="6">
        <v>242</v>
      </c>
      <c r="L45" s="8">
        <f t="shared" si="0"/>
        <v>19.888429752066116</v>
      </c>
      <c r="M45" s="6">
        <f>_xlfn.XLOOKUP(B45,'[3]Station Summary'!$A:$A,'[3]Station Summary'!$E:$E,0)</f>
        <v>6570</v>
      </c>
      <c r="N45" s="6">
        <f t="shared" si="1"/>
        <v>197.1</v>
      </c>
      <c r="O45" s="24">
        <f t="shared" si="2"/>
        <v>0</v>
      </c>
    </row>
    <row r="46" spans="2:15" x14ac:dyDescent="0.35">
      <c r="B46" s="25" t="s">
        <v>53</v>
      </c>
      <c r="C46" s="4" t="s">
        <v>367</v>
      </c>
      <c r="D46" s="5">
        <v>175565308</v>
      </c>
      <c r="E46" s="6" t="s">
        <v>315</v>
      </c>
      <c r="F46" s="7">
        <v>74585</v>
      </c>
      <c r="G46" s="7"/>
      <c r="H46" s="6" t="s">
        <v>7</v>
      </c>
      <c r="I46" s="6" t="s">
        <v>316</v>
      </c>
      <c r="J46" s="6">
        <v>872</v>
      </c>
      <c r="K46" s="6">
        <v>2540</v>
      </c>
      <c r="L46" s="8">
        <f t="shared" si="0"/>
        <v>21.859613130128956</v>
      </c>
      <c r="M46" s="6">
        <f>_xlfn.XLOOKUP(B46,'[3]Station Summary'!$A:$A,'[3]Station Summary'!$E:$E,0)</f>
        <v>74021</v>
      </c>
      <c r="N46" s="6">
        <f t="shared" si="1"/>
        <v>2220.63</v>
      </c>
      <c r="O46" s="24">
        <f t="shared" si="2"/>
        <v>0.25556858147713951</v>
      </c>
    </row>
    <row r="47" spans="2:15" x14ac:dyDescent="0.35">
      <c r="B47" s="25" t="s">
        <v>54</v>
      </c>
      <c r="C47" s="4" t="s">
        <v>368</v>
      </c>
      <c r="D47" s="5">
        <v>162116097</v>
      </c>
      <c r="E47" s="6" t="s">
        <v>321</v>
      </c>
      <c r="F47" s="7">
        <v>165622</v>
      </c>
      <c r="G47" s="7"/>
      <c r="H47" s="6" t="s">
        <v>5</v>
      </c>
      <c r="I47" s="6" t="s">
        <v>316</v>
      </c>
      <c r="J47" s="6">
        <v>2076</v>
      </c>
      <c r="K47" s="6">
        <v>5552</v>
      </c>
      <c r="L47" s="8">
        <f t="shared" si="0"/>
        <v>21.712375458835869</v>
      </c>
      <c r="M47" s="6">
        <f>_xlfn.XLOOKUP(B47,'[3]Station Summary'!$A:$A,'[3]Station Summary'!$E:$E,0)</f>
        <v>222210</v>
      </c>
      <c r="N47" s="6">
        <f t="shared" si="1"/>
        <v>6666.3</v>
      </c>
      <c r="O47" s="24">
        <f t="shared" si="2"/>
        <v>0.27215521761929734</v>
      </c>
    </row>
    <row r="48" spans="2:15" x14ac:dyDescent="0.35">
      <c r="B48" s="25" t="s">
        <v>55</v>
      </c>
      <c r="C48" s="4" t="s">
        <v>369</v>
      </c>
      <c r="D48" s="5">
        <v>177981364</v>
      </c>
      <c r="E48" s="6" t="s">
        <v>315</v>
      </c>
      <c r="F48" s="7">
        <v>16116</v>
      </c>
      <c r="G48" s="7"/>
      <c r="H48" s="6" t="s">
        <v>7</v>
      </c>
      <c r="I48" s="6" t="s">
        <v>316</v>
      </c>
      <c r="J48" s="6">
        <v>196</v>
      </c>
      <c r="K48" s="6">
        <v>540</v>
      </c>
      <c r="L48" s="8">
        <f t="shared" si="0"/>
        <v>21.896739130434781</v>
      </c>
      <c r="M48" s="6">
        <f>_xlfn.XLOOKUP(B48,'[3]Station Summary'!$A:$A,'[3]Station Summary'!$E:$E,0)</f>
        <v>19239</v>
      </c>
      <c r="N48" s="6">
        <f t="shared" si="1"/>
        <v>577.16999999999996</v>
      </c>
      <c r="O48" s="24">
        <f t="shared" si="2"/>
        <v>0.26630434782608697</v>
      </c>
    </row>
    <row r="49" spans="2:15" x14ac:dyDescent="0.35">
      <c r="B49" s="23" t="s">
        <v>56</v>
      </c>
      <c r="C49" s="4">
        <v>25701066893</v>
      </c>
      <c r="D49" s="5" t="s">
        <v>57</v>
      </c>
      <c r="E49" s="6" t="s">
        <v>321</v>
      </c>
      <c r="F49" s="9">
        <v>231376</v>
      </c>
      <c r="G49" s="9"/>
      <c r="H49" s="6" t="s">
        <v>7</v>
      </c>
      <c r="I49" s="6" t="s">
        <v>346</v>
      </c>
      <c r="J49" s="6"/>
      <c r="K49" s="6">
        <v>8208</v>
      </c>
      <c r="L49" s="8">
        <f t="shared" si="0"/>
        <v>28.189083820662766</v>
      </c>
      <c r="M49" s="6">
        <f>_xlfn.XLOOKUP(B49,'[3]Station Summary'!$A:$A,'[3]Station Summary'!$E:$E,0)</f>
        <v>218040</v>
      </c>
      <c r="N49" s="6">
        <f t="shared" si="1"/>
        <v>6541.2</v>
      </c>
      <c r="O49" s="24">
        <f t="shared" si="2"/>
        <v>0</v>
      </c>
    </row>
    <row r="50" spans="2:15" x14ac:dyDescent="0.35">
      <c r="B50" s="25" t="s">
        <v>58</v>
      </c>
      <c r="C50" s="4" t="s">
        <v>370</v>
      </c>
      <c r="D50" s="5">
        <v>175501683</v>
      </c>
      <c r="E50" s="6" t="s">
        <v>315</v>
      </c>
      <c r="F50" s="7">
        <v>260130</v>
      </c>
      <c r="G50" s="7">
        <v>263800</v>
      </c>
      <c r="H50" s="6" t="s">
        <v>7</v>
      </c>
      <c r="I50" s="6" t="s">
        <v>316</v>
      </c>
      <c r="J50" s="6">
        <v>8214</v>
      </c>
      <c r="K50" s="6">
        <v>5765</v>
      </c>
      <c r="L50" s="8">
        <f t="shared" si="0"/>
        <v>18.871163888690177</v>
      </c>
      <c r="M50" s="6">
        <f>_xlfn.XLOOKUP(B50,'[3]Station Summary'!$A:$A,'[3]Station Summary'!$E:$E,0)</f>
        <v>106132</v>
      </c>
      <c r="N50" s="6">
        <f t="shared" si="1"/>
        <v>3183.96</v>
      </c>
      <c r="O50" s="24">
        <f t="shared" si="2"/>
        <v>0.58759567923313538</v>
      </c>
    </row>
    <row r="51" spans="2:15" x14ac:dyDescent="0.35">
      <c r="B51" s="25" t="s">
        <v>59</v>
      </c>
      <c r="C51" s="4" t="s">
        <v>371</v>
      </c>
      <c r="D51" s="5">
        <v>178633077</v>
      </c>
      <c r="E51" s="6" t="s">
        <v>315</v>
      </c>
      <c r="F51" s="7">
        <v>54121</v>
      </c>
      <c r="G51" s="7"/>
      <c r="H51" s="6" t="s">
        <v>7</v>
      </c>
      <c r="I51" s="6" t="s">
        <v>346</v>
      </c>
      <c r="J51" s="6">
        <v>297.7</v>
      </c>
      <c r="K51" s="6">
        <v>1565</v>
      </c>
      <c r="L51" s="8">
        <f t="shared" si="0"/>
        <v>29.055135019058355</v>
      </c>
      <c r="M51" s="6">
        <f>_xlfn.XLOOKUP(B51,'[3]Station Summary'!$A:$A,'[3]Station Summary'!$E:$E,0)</f>
        <v>62094</v>
      </c>
      <c r="N51" s="6">
        <f t="shared" si="1"/>
        <v>1862.82</v>
      </c>
      <c r="O51" s="24">
        <f t="shared" si="2"/>
        <v>0.15982176410586782</v>
      </c>
    </row>
    <row r="52" spans="2:15" x14ac:dyDescent="0.35">
      <c r="B52" s="25" t="s">
        <v>60</v>
      </c>
      <c r="C52" s="4" t="s">
        <v>372</v>
      </c>
      <c r="D52" s="5">
        <v>177360847</v>
      </c>
      <c r="E52" s="6" t="s">
        <v>315</v>
      </c>
      <c r="F52" s="7">
        <v>96697</v>
      </c>
      <c r="G52" s="7"/>
      <c r="H52" s="6" t="s">
        <v>7</v>
      </c>
      <c r="I52" s="6" t="s">
        <v>316</v>
      </c>
      <c r="J52" s="6">
        <v>1694</v>
      </c>
      <c r="K52" s="6">
        <v>2911</v>
      </c>
      <c r="L52" s="8">
        <f t="shared" si="0"/>
        <v>20.998262757871878</v>
      </c>
      <c r="M52" s="6">
        <f>_xlfn.XLOOKUP(B52,'[3]Station Summary'!$A:$A,'[3]Station Summary'!$E:$E,0)</f>
        <v>123390</v>
      </c>
      <c r="N52" s="6">
        <f t="shared" si="1"/>
        <v>3701.7</v>
      </c>
      <c r="O52" s="24">
        <f t="shared" si="2"/>
        <v>0.36786102062975029</v>
      </c>
    </row>
    <row r="53" spans="2:15" x14ac:dyDescent="0.35">
      <c r="B53" s="25" t="s">
        <v>61</v>
      </c>
      <c r="C53" s="4" t="s">
        <v>373</v>
      </c>
      <c r="D53" s="5">
        <v>46427589</v>
      </c>
      <c r="E53" s="6" t="s">
        <v>315</v>
      </c>
      <c r="F53" s="7">
        <v>21623</v>
      </c>
      <c r="G53" s="7"/>
      <c r="H53" s="6" t="s">
        <v>5</v>
      </c>
      <c r="I53" s="6" t="s">
        <v>316</v>
      </c>
      <c r="J53" s="6">
        <v>245</v>
      </c>
      <c r="K53" s="6">
        <v>732</v>
      </c>
      <c r="L53" s="8">
        <f t="shared" si="0"/>
        <v>22.132036847492323</v>
      </c>
      <c r="M53" s="6">
        <f>_xlfn.XLOOKUP(B53,'[3]Station Summary'!$A:$A,'[3]Station Summary'!$E:$E,0)</f>
        <v>25018</v>
      </c>
      <c r="N53" s="6">
        <f t="shared" si="1"/>
        <v>750.54</v>
      </c>
      <c r="O53" s="24">
        <f t="shared" si="2"/>
        <v>0.25076765609007162</v>
      </c>
    </row>
    <row r="54" spans="2:15" x14ac:dyDescent="0.35">
      <c r="B54" s="25" t="s">
        <v>62</v>
      </c>
      <c r="C54" s="4" t="s">
        <v>374</v>
      </c>
      <c r="D54" s="5">
        <v>195362344</v>
      </c>
      <c r="E54" s="6" t="s">
        <v>315</v>
      </c>
      <c r="F54" s="7">
        <v>39414</v>
      </c>
      <c r="G54" s="7"/>
      <c r="H54" s="6" t="s">
        <v>7</v>
      </c>
      <c r="I54" s="6" t="s">
        <v>359</v>
      </c>
      <c r="J54" s="6"/>
      <c r="K54" s="6">
        <v>1965</v>
      </c>
      <c r="L54" s="8">
        <f t="shared" si="0"/>
        <v>20.058015267175573</v>
      </c>
      <c r="M54" s="6">
        <f>_xlfn.XLOOKUP(B54,'[3]Station Summary'!$A:$A,'[3]Station Summary'!$E:$E,0)</f>
        <v>54731</v>
      </c>
      <c r="N54" s="6">
        <f t="shared" si="1"/>
        <v>1641.9299999999998</v>
      </c>
      <c r="O54" s="24">
        <f t="shared" si="2"/>
        <v>0</v>
      </c>
    </row>
    <row r="55" spans="2:15" x14ac:dyDescent="0.35">
      <c r="B55" s="25" t="s">
        <v>63</v>
      </c>
      <c r="C55" s="4" t="s">
        <v>375</v>
      </c>
      <c r="D55" s="5">
        <v>177887029</v>
      </c>
      <c r="E55" s="6" t="s">
        <v>315</v>
      </c>
      <c r="F55" s="7">
        <v>41850</v>
      </c>
      <c r="G55" s="7"/>
      <c r="H55" s="6" t="s">
        <v>7</v>
      </c>
      <c r="I55" s="6" t="s">
        <v>316</v>
      </c>
      <c r="J55" s="6">
        <v>520</v>
      </c>
      <c r="K55" s="6">
        <v>1389</v>
      </c>
      <c r="L55" s="8">
        <f t="shared" si="0"/>
        <v>21.922472498690414</v>
      </c>
      <c r="M55" s="6">
        <f>_xlfn.XLOOKUP(B55,'[3]Station Summary'!$A:$A,'[3]Station Summary'!$E:$E,0)</f>
        <v>54184</v>
      </c>
      <c r="N55" s="6">
        <f t="shared" si="1"/>
        <v>1625.52</v>
      </c>
      <c r="O55" s="24">
        <f t="shared" si="2"/>
        <v>0.27239392352016761</v>
      </c>
    </row>
    <row r="56" spans="2:15" x14ac:dyDescent="0.35">
      <c r="B56" s="25" t="s">
        <v>64</v>
      </c>
      <c r="C56" s="4" t="s">
        <v>376</v>
      </c>
      <c r="D56" s="5">
        <v>177358757</v>
      </c>
      <c r="E56" s="6" t="s">
        <v>315</v>
      </c>
      <c r="F56" s="7">
        <v>19319</v>
      </c>
      <c r="G56" s="7"/>
      <c r="H56" s="6" t="s">
        <v>7</v>
      </c>
      <c r="I56" s="6" t="s">
        <v>316</v>
      </c>
      <c r="J56" s="6">
        <v>277</v>
      </c>
      <c r="K56" s="6">
        <v>627</v>
      </c>
      <c r="L56" s="8">
        <f t="shared" si="0"/>
        <v>21.370575221238937</v>
      </c>
      <c r="M56" s="6">
        <f>_xlfn.XLOOKUP(B56,'[3]Station Summary'!$A:$A,'[3]Station Summary'!$E:$E,0)</f>
        <v>21655</v>
      </c>
      <c r="N56" s="6">
        <f t="shared" si="1"/>
        <v>649.65</v>
      </c>
      <c r="O56" s="24">
        <f t="shared" si="2"/>
        <v>0.30641592920353983</v>
      </c>
    </row>
    <row r="57" spans="2:15" x14ac:dyDescent="0.35">
      <c r="B57" s="25" t="s">
        <v>65</v>
      </c>
      <c r="C57" s="4" t="s">
        <v>377</v>
      </c>
      <c r="D57" s="5">
        <v>178568816</v>
      </c>
      <c r="E57" s="6" t="s">
        <v>315</v>
      </c>
      <c r="F57" s="7">
        <v>293518</v>
      </c>
      <c r="G57" s="7"/>
      <c r="H57" s="6" t="s">
        <v>7</v>
      </c>
      <c r="I57" s="6" t="s">
        <v>316</v>
      </c>
      <c r="J57" s="6">
        <v>5895</v>
      </c>
      <c r="K57" s="6">
        <v>8380</v>
      </c>
      <c r="L57" s="8">
        <f t="shared" si="0"/>
        <v>20.561681260945708</v>
      </c>
      <c r="M57" s="6">
        <f>_xlfn.XLOOKUP(B57,'[3]Station Summary'!$A:$A,'[3]Station Summary'!$E:$E,0)</f>
        <v>421225</v>
      </c>
      <c r="N57" s="6">
        <f t="shared" si="1"/>
        <v>12636.75</v>
      </c>
      <c r="O57" s="24">
        <f t="shared" si="2"/>
        <v>0.41295971978984236</v>
      </c>
    </row>
    <row r="58" spans="2:15" x14ac:dyDescent="0.35">
      <c r="B58" s="25" t="s">
        <v>66</v>
      </c>
      <c r="C58" s="4" t="s">
        <v>378</v>
      </c>
      <c r="D58" s="5">
        <v>177887219</v>
      </c>
      <c r="E58" s="6" t="s">
        <v>315</v>
      </c>
      <c r="F58" s="7">
        <v>22038</v>
      </c>
      <c r="G58" s="7"/>
      <c r="H58" s="6" t="s">
        <v>7</v>
      </c>
      <c r="I58" s="6" t="s">
        <v>316</v>
      </c>
      <c r="J58" s="6">
        <v>311</v>
      </c>
      <c r="K58" s="6">
        <v>716</v>
      </c>
      <c r="L58" s="8">
        <f t="shared" si="0"/>
        <v>21.458617332035054</v>
      </c>
      <c r="M58" s="6">
        <f>_xlfn.XLOOKUP(B58,'[3]Station Summary'!$A:$A,'[3]Station Summary'!$E:$E,0)</f>
        <v>28383</v>
      </c>
      <c r="N58" s="6">
        <f t="shared" si="1"/>
        <v>851.49</v>
      </c>
      <c r="O58" s="24">
        <f t="shared" si="2"/>
        <v>0.30282375851996107</v>
      </c>
    </row>
    <row r="59" spans="2:15" x14ac:dyDescent="0.35">
      <c r="B59" s="25" t="s">
        <v>67</v>
      </c>
      <c r="C59" s="4" t="s">
        <v>379</v>
      </c>
      <c r="D59" s="5">
        <v>168571669</v>
      </c>
      <c r="E59" s="6" t="s">
        <v>315</v>
      </c>
      <c r="F59" s="7">
        <v>470508</v>
      </c>
      <c r="G59" s="7">
        <v>477126</v>
      </c>
      <c r="H59" s="6" t="s">
        <v>5</v>
      </c>
      <c r="I59" s="6" t="s">
        <v>316</v>
      </c>
      <c r="J59" s="6">
        <v>12080</v>
      </c>
      <c r="K59" s="6">
        <v>12109</v>
      </c>
      <c r="L59" s="8">
        <f t="shared" si="0"/>
        <v>19.72491628426144</v>
      </c>
      <c r="M59" s="6">
        <f>_xlfn.XLOOKUP(B59,'[3]Station Summary'!$A:$A,'[3]Station Summary'!$E:$E,0)</f>
        <v>746571</v>
      </c>
      <c r="N59" s="6">
        <f t="shared" si="1"/>
        <v>22397.129999999997</v>
      </c>
      <c r="O59" s="24">
        <f t="shared" si="2"/>
        <v>0.49940055397081318</v>
      </c>
    </row>
    <row r="60" spans="2:15" x14ac:dyDescent="0.35">
      <c r="B60" s="23" t="s">
        <v>68</v>
      </c>
      <c r="C60" s="4"/>
      <c r="D60" s="5">
        <v>205382948</v>
      </c>
      <c r="E60" s="6" t="s">
        <v>315</v>
      </c>
      <c r="F60" s="9">
        <v>14737</v>
      </c>
      <c r="G60" s="9"/>
      <c r="H60" s="6" t="s">
        <v>7</v>
      </c>
      <c r="I60" s="6"/>
      <c r="J60" s="6"/>
      <c r="K60" s="6"/>
      <c r="L60" s="8" t="str">
        <f t="shared" si="0"/>
        <v>Change</v>
      </c>
      <c r="M60" s="6">
        <f>_xlfn.XLOOKUP(B60,'[3]Station Summary'!$A:$A,'[3]Station Summary'!$E:$E,0)</f>
        <v>19824</v>
      </c>
      <c r="N60" s="6">
        <f t="shared" si="1"/>
        <v>594.72</v>
      </c>
      <c r="O60" s="24">
        <f t="shared" si="2"/>
        <v>0</v>
      </c>
    </row>
    <row r="61" spans="2:15" x14ac:dyDescent="0.35">
      <c r="B61" s="25" t="s">
        <v>69</v>
      </c>
      <c r="C61" s="4" t="s">
        <v>380</v>
      </c>
      <c r="D61" s="5">
        <v>173694355</v>
      </c>
      <c r="E61" s="6" t="s">
        <v>315</v>
      </c>
      <c r="F61" s="7">
        <v>13144</v>
      </c>
      <c r="G61" s="7"/>
      <c r="H61" s="6" t="s">
        <v>7</v>
      </c>
      <c r="I61" s="6" t="s">
        <v>381</v>
      </c>
      <c r="J61" s="6">
        <v>206</v>
      </c>
      <c r="K61" s="6">
        <v>356</v>
      </c>
      <c r="L61" s="8">
        <f t="shared" si="0"/>
        <v>23.387900355871885</v>
      </c>
      <c r="M61" s="6">
        <f>_xlfn.XLOOKUP(B61,'[3]Station Summary'!$A:$A,'[3]Station Summary'!$E:$E,0)</f>
        <v>11308</v>
      </c>
      <c r="N61" s="6">
        <f t="shared" si="1"/>
        <v>339.24</v>
      </c>
      <c r="O61" s="24">
        <f t="shared" si="2"/>
        <v>0.36654804270462632</v>
      </c>
    </row>
    <row r="62" spans="2:15" x14ac:dyDescent="0.35">
      <c r="B62" s="25" t="s">
        <v>70</v>
      </c>
      <c r="C62" s="4" t="s">
        <v>382</v>
      </c>
      <c r="D62" s="5">
        <v>191783002</v>
      </c>
      <c r="E62" s="6" t="s">
        <v>315</v>
      </c>
      <c r="F62" s="7">
        <v>14850</v>
      </c>
      <c r="G62" s="7"/>
      <c r="H62" s="6" t="s">
        <v>7</v>
      </c>
      <c r="I62" s="6" t="s">
        <v>316</v>
      </c>
      <c r="J62" s="6">
        <v>214</v>
      </c>
      <c r="K62" s="6">
        <v>475</v>
      </c>
      <c r="L62" s="8">
        <f t="shared" si="0"/>
        <v>21.552975326560233</v>
      </c>
      <c r="M62" s="6">
        <f>_xlfn.XLOOKUP(B62,'[3]Station Summary'!$A:$A,'[3]Station Summary'!$E:$E,0)</f>
        <v>17532</v>
      </c>
      <c r="N62" s="6">
        <f t="shared" si="1"/>
        <v>525.96</v>
      </c>
      <c r="O62" s="24">
        <f t="shared" si="2"/>
        <v>0.31059506531204645</v>
      </c>
    </row>
    <row r="63" spans="2:15" x14ac:dyDescent="0.35">
      <c r="B63" s="25" t="s">
        <v>71</v>
      </c>
      <c r="C63" s="4" t="s">
        <v>383</v>
      </c>
      <c r="D63" s="5">
        <v>177441575</v>
      </c>
      <c r="E63" s="6" t="s">
        <v>384</v>
      </c>
      <c r="F63" s="7">
        <v>19</v>
      </c>
      <c r="G63" s="7"/>
      <c r="H63" s="6" t="s">
        <v>72</v>
      </c>
      <c r="I63" s="6" t="s">
        <v>339</v>
      </c>
      <c r="J63" s="6"/>
      <c r="K63" s="6"/>
      <c r="L63" s="8" t="str">
        <f>IFERROR(IF(G63="",F63/(J63+K63),G63/(J63+K63)),"Change")</f>
        <v>Change</v>
      </c>
      <c r="M63" s="6">
        <f>_xlfn.XLOOKUP(B63,'[3]Station Summary'!$A:$A,'[3]Station Summary'!$E:$E,0)</f>
        <v>30335</v>
      </c>
      <c r="N63" s="6">
        <f t="shared" si="1"/>
        <v>910.05</v>
      </c>
      <c r="O63" s="24">
        <f t="shared" si="2"/>
        <v>0</v>
      </c>
    </row>
    <row r="64" spans="2:15" x14ac:dyDescent="0.35">
      <c r="B64" s="25" t="s">
        <v>73</v>
      </c>
      <c r="C64" s="4" t="s">
        <v>385</v>
      </c>
      <c r="D64" s="5">
        <v>179227257</v>
      </c>
      <c r="E64" s="6" t="s">
        <v>315</v>
      </c>
      <c r="F64" s="7">
        <v>66193</v>
      </c>
      <c r="G64" s="7"/>
      <c r="H64" s="6" t="s">
        <v>7</v>
      </c>
      <c r="I64" s="6" t="s">
        <v>316</v>
      </c>
      <c r="J64" s="6">
        <v>1075</v>
      </c>
      <c r="K64" s="6">
        <v>2082</v>
      </c>
      <c r="L64" s="8">
        <f t="shared" si="0"/>
        <v>20.96705733291099</v>
      </c>
      <c r="M64" s="6">
        <f>_xlfn.XLOOKUP(B64,'[3]Station Summary'!$A:$A,'[3]Station Summary'!$E:$E,0)</f>
        <v>87805</v>
      </c>
      <c r="N64" s="6">
        <f t="shared" si="1"/>
        <v>2634.15</v>
      </c>
      <c r="O64" s="24">
        <f t="shared" si="2"/>
        <v>0.34051314539119415</v>
      </c>
    </row>
    <row r="65" spans="2:15" x14ac:dyDescent="0.35">
      <c r="B65" s="23" t="s">
        <v>74</v>
      </c>
      <c r="C65" s="4">
        <v>25701255348</v>
      </c>
      <c r="D65" s="5" t="s">
        <v>75</v>
      </c>
      <c r="E65" s="6" t="s">
        <v>386</v>
      </c>
      <c r="F65" s="7">
        <v>22030</v>
      </c>
      <c r="G65" s="7"/>
      <c r="H65" s="6" t="s">
        <v>7</v>
      </c>
      <c r="I65" s="6" t="s">
        <v>316</v>
      </c>
      <c r="J65" s="6">
        <v>0</v>
      </c>
      <c r="K65" s="6">
        <v>897</v>
      </c>
      <c r="L65" s="8">
        <f t="shared" si="0"/>
        <v>24.55964325529543</v>
      </c>
      <c r="M65" s="6">
        <f>_xlfn.XLOOKUP(B65,'[3]Station Summary'!$A:$A,'[3]Station Summary'!$E:$E,0)</f>
        <v>30155</v>
      </c>
      <c r="N65" s="6">
        <f t="shared" si="1"/>
        <v>904.65</v>
      </c>
      <c r="O65" s="24">
        <f t="shared" si="2"/>
        <v>0</v>
      </c>
    </row>
    <row r="66" spans="2:15" x14ac:dyDescent="0.35">
      <c r="B66" s="23" t="s">
        <v>76</v>
      </c>
      <c r="C66" s="4">
        <v>25701019876</v>
      </c>
      <c r="D66" s="5" t="s">
        <v>77</v>
      </c>
      <c r="E66" s="6" t="s">
        <v>387</v>
      </c>
      <c r="F66" s="7">
        <v>1157.21</v>
      </c>
      <c r="G66" s="7"/>
      <c r="H66" s="6" t="s">
        <v>72</v>
      </c>
      <c r="I66" s="6" t="s">
        <v>359</v>
      </c>
      <c r="J66" s="6"/>
      <c r="K66" s="6">
        <v>56</v>
      </c>
      <c r="L66" s="8">
        <f t="shared" si="0"/>
        <v>20.664464285714285</v>
      </c>
      <c r="M66" s="6">
        <f>_xlfn.XLOOKUP(B66,'[3]Station Summary'!$A:$A,'[3]Station Summary'!$E:$E,0)</f>
        <v>19960</v>
      </c>
      <c r="N66" s="6">
        <f t="shared" si="1"/>
        <v>598.79999999999995</v>
      </c>
      <c r="O66" s="24">
        <f t="shared" si="2"/>
        <v>0</v>
      </c>
    </row>
    <row r="67" spans="2:15" x14ac:dyDescent="0.35">
      <c r="B67" s="25" t="s">
        <v>78</v>
      </c>
      <c r="C67" s="4" t="s">
        <v>388</v>
      </c>
      <c r="D67" s="5">
        <v>178503603</v>
      </c>
      <c r="E67" s="6" t="s">
        <v>321</v>
      </c>
      <c r="F67" s="7">
        <v>1245</v>
      </c>
      <c r="G67" s="7">
        <v>10517</v>
      </c>
      <c r="H67" s="6" t="s">
        <v>79</v>
      </c>
      <c r="I67" s="6" t="s">
        <v>316</v>
      </c>
      <c r="J67" s="6">
        <v>139</v>
      </c>
      <c r="K67" s="6">
        <v>344</v>
      </c>
      <c r="L67" s="8">
        <f t="shared" si="0"/>
        <v>21.77432712215321</v>
      </c>
      <c r="M67" s="6">
        <f>_xlfn.XLOOKUP(B67,'[3]Station Summary'!$A:$A,'[3]Station Summary'!$E:$E,0)</f>
        <v>12309</v>
      </c>
      <c r="N67" s="6">
        <f t="shared" si="1"/>
        <v>369.27</v>
      </c>
      <c r="O67" s="24">
        <f t="shared" si="2"/>
        <v>0.28778467908902694</v>
      </c>
    </row>
    <row r="68" spans="2:15" x14ac:dyDescent="0.35">
      <c r="B68" s="23" t="s">
        <v>80</v>
      </c>
      <c r="C68" s="4">
        <v>25700514786</v>
      </c>
      <c r="D68" s="5" t="s">
        <v>81</v>
      </c>
      <c r="E68" s="6" t="s">
        <v>315</v>
      </c>
      <c r="F68" s="7">
        <v>15994</v>
      </c>
      <c r="G68" s="7"/>
      <c r="H68" s="6" t="s">
        <v>5</v>
      </c>
      <c r="I68" s="6" t="s">
        <v>389</v>
      </c>
      <c r="J68" s="6">
        <v>37</v>
      </c>
      <c r="K68" s="6">
        <v>557</v>
      </c>
      <c r="L68" s="8">
        <f t="shared" ref="L68:L131" si="3">IFERROR(IF(G68="",F68/(J68+K68),G68/(J68+K68)),"Change")</f>
        <v>26.925925925925927</v>
      </c>
      <c r="M68" s="6">
        <f>_xlfn.XLOOKUP(B68,'[3]Station Summary'!$A:$A,'[3]Station Summary'!$E:$E,0)</f>
        <v>17720</v>
      </c>
      <c r="N68" s="6">
        <f t="shared" ref="N68:N131" si="4">M68*0.03</f>
        <v>531.6</v>
      </c>
      <c r="O68" s="24">
        <f t="shared" ref="O68:O131" si="5">IFERROR(J68/(J68+K68),0)</f>
        <v>6.2289562289562291E-2</v>
      </c>
    </row>
    <row r="69" spans="2:15" x14ac:dyDescent="0.35">
      <c r="B69" s="23" t="s">
        <v>82</v>
      </c>
      <c r="C69" s="4">
        <v>92802574886</v>
      </c>
      <c r="D69" s="5">
        <v>175811049</v>
      </c>
      <c r="E69" s="6" t="s">
        <v>315</v>
      </c>
      <c r="F69" s="7">
        <v>16608</v>
      </c>
      <c r="G69" s="7"/>
      <c r="H69" s="6" t="s">
        <v>7</v>
      </c>
      <c r="I69" s="6" t="s">
        <v>390</v>
      </c>
      <c r="J69" s="6"/>
      <c r="K69" s="6">
        <v>660</v>
      </c>
      <c r="L69" s="8">
        <f t="shared" si="3"/>
        <v>25.163636363636364</v>
      </c>
      <c r="M69" s="6">
        <f>_xlfn.XLOOKUP(B69,'[3]Station Summary'!$A:$A,'[3]Station Summary'!$E:$E,0)</f>
        <v>14125</v>
      </c>
      <c r="N69" s="6">
        <f t="shared" si="4"/>
        <v>423.75</v>
      </c>
      <c r="O69" s="24">
        <f t="shared" si="5"/>
        <v>0</v>
      </c>
    </row>
    <row r="70" spans="2:15" x14ac:dyDescent="0.35">
      <c r="B70" s="25" t="s">
        <v>83</v>
      </c>
      <c r="C70" s="4" t="s">
        <v>391</v>
      </c>
      <c r="D70" s="5">
        <v>160325385</v>
      </c>
      <c r="E70" s="6" t="s">
        <v>315</v>
      </c>
      <c r="F70" s="7">
        <v>107151</v>
      </c>
      <c r="G70" s="7"/>
      <c r="H70" s="6" t="s">
        <v>5</v>
      </c>
      <c r="I70" s="6" t="s">
        <v>316</v>
      </c>
      <c r="J70" s="6">
        <v>1672</v>
      </c>
      <c r="K70" s="6">
        <v>3350</v>
      </c>
      <c r="L70" s="8">
        <f t="shared" si="3"/>
        <v>21.336320191158901</v>
      </c>
      <c r="M70" s="6">
        <f>_xlfn.XLOOKUP(B70,'[3]Station Summary'!$A:$A,'[3]Station Summary'!$E:$E,0)</f>
        <v>141692</v>
      </c>
      <c r="N70" s="6">
        <f t="shared" si="4"/>
        <v>4250.76</v>
      </c>
      <c r="O70" s="24">
        <f t="shared" si="5"/>
        <v>0.33293508562325769</v>
      </c>
    </row>
    <row r="71" spans="2:15" x14ac:dyDescent="0.35">
      <c r="B71" s="25" t="s">
        <v>84</v>
      </c>
      <c r="C71" s="4" t="s">
        <v>392</v>
      </c>
      <c r="D71" s="5">
        <v>174988980</v>
      </c>
      <c r="E71" s="6" t="s">
        <v>345</v>
      </c>
      <c r="F71" s="7">
        <v>242441</v>
      </c>
      <c r="G71" s="7"/>
      <c r="H71" s="6" t="s">
        <v>7</v>
      </c>
      <c r="I71" s="6" t="s">
        <v>316</v>
      </c>
      <c r="J71" s="6">
        <v>5392</v>
      </c>
      <c r="K71" s="6">
        <v>6605</v>
      </c>
      <c r="L71" s="8">
        <f t="shared" si="3"/>
        <v>20.208468783862632</v>
      </c>
      <c r="M71" s="6">
        <f>_xlfn.XLOOKUP(B71,'[3]Station Summary'!$A:$A,'[3]Station Summary'!$E:$E,0)</f>
        <v>364736</v>
      </c>
      <c r="N71" s="6">
        <f t="shared" si="4"/>
        <v>10942.08</v>
      </c>
      <c r="O71" s="24">
        <f t="shared" si="5"/>
        <v>0.44944569475702256</v>
      </c>
    </row>
    <row r="72" spans="2:15" x14ac:dyDescent="0.35">
      <c r="B72" s="23" t="s">
        <v>85</v>
      </c>
      <c r="C72" s="4">
        <v>25700628735</v>
      </c>
      <c r="D72" s="5">
        <v>169036686</v>
      </c>
      <c r="E72" s="6" t="s">
        <v>315</v>
      </c>
      <c r="F72" s="7">
        <v>104057</v>
      </c>
      <c r="G72" s="7"/>
      <c r="H72" s="6" t="s">
        <v>5</v>
      </c>
      <c r="I72" s="6" t="s">
        <v>316</v>
      </c>
      <c r="J72" s="6">
        <v>1474</v>
      </c>
      <c r="K72" s="6">
        <v>3344</v>
      </c>
      <c r="L72" s="8">
        <f t="shared" si="3"/>
        <v>21.597550850975509</v>
      </c>
      <c r="M72" s="6">
        <f>_xlfn.XLOOKUP(B72,'[3]Station Summary'!$A:$A,'[3]Station Summary'!$E:$E,0)</f>
        <v>122572</v>
      </c>
      <c r="N72" s="6">
        <f t="shared" si="4"/>
        <v>3677.16</v>
      </c>
      <c r="O72" s="24">
        <f t="shared" si="5"/>
        <v>0.30593607305936071</v>
      </c>
    </row>
    <row r="73" spans="2:15" x14ac:dyDescent="0.35">
      <c r="B73" s="25" t="s">
        <v>86</v>
      </c>
      <c r="C73" s="4" t="s">
        <v>393</v>
      </c>
      <c r="D73" s="5">
        <v>177899913</v>
      </c>
      <c r="E73" s="6" t="s">
        <v>315</v>
      </c>
      <c r="F73" s="7">
        <v>10545</v>
      </c>
      <c r="G73" s="7"/>
      <c r="H73" s="6" t="s">
        <v>7</v>
      </c>
      <c r="I73" s="6" t="s">
        <v>316</v>
      </c>
      <c r="J73" s="6">
        <v>306</v>
      </c>
      <c r="K73" s="6">
        <v>244</v>
      </c>
      <c r="L73" s="8">
        <f t="shared" si="3"/>
        <v>19.172727272727272</v>
      </c>
      <c r="M73" s="6">
        <f>_xlfn.XLOOKUP(B73,'[3]Station Summary'!$A:$A,'[3]Station Summary'!$E:$E,0)</f>
        <v>14837</v>
      </c>
      <c r="N73" s="6">
        <f t="shared" si="4"/>
        <v>445.10999999999996</v>
      </c>
      <c r="O73" s="24">
        <f t="shared" si="5"/>
        <v>0.55636363636363639</v>
      </c>
    </row>
    <row r="74" spans="2:15" x14ac:dyDescent="0.35">
      <c r="B74" s="25" t="s">
        <v>87</v>
      </c>
      <c r="C74" s="4" t="s">
        <v>394</v>
      </c>
      <c r="D74" s="5">
        <v>171355551</v>
      </c>
      <c r="E74" s="6" t="s">
        <v>315</v>
      </c>
      <c r="F74" s="7">
        <v>253087</v>
      </c>
      <c r="G74" s="7"/>
      <c r="H74" s="6" t="s">
        <v>5</v>
      </c>
      <c r="I74" s="6" t="s">
        <v>316</v>
      </c>
      <c r="J74" s="6">
        <v>2671</v>
      </c>
      <c r="K74" s="6">
        <v>8687</v>
      </c>
      <c r="L74" s="8">
        <f t="shared" si="3"/>
        <v>22.282708223278746</v>
      </c>
      <c r="M74" s="6">
        <f>_xlfn.XLOOKUP(B74,'[3]Station Summary'!$A:$A,'[3]Station Summary'!$E:$E,0)</f>
        <v>269559</v>
      </c>
      <c r="N74" s="6">
        <f t="shared" si="4"/>
        <v>8086.7699999999995</v>
      </c>
      <c r="O74" s="24">
        <f t="shared" si="5"/>
        <v>0.23516464166226447</v>
      </c>
    </row>
    <row r="75" spans="2:15" x14ac:dyDescent="0.35">
      <c r="B75" s="25" t="s">
        <v>88</v>
      </c>
      <c r="C75" s="4" t="s">
        <v>395</v>
      </c>
      <c r="D75" s="5">
        <v>190793135</v>
      </c>
      <c r="E75" s="6" t="s">
        <v>321</v>
      </c>
      <c r="F75" s="7">
        <v>441441</v>
      </c>
      <c r="G75" s="7"/>
      <c r="H75" s="6" t="s">
        <v>7</v>
      </c>
      <c r="I75" s="6" t="s">
        <v>346</v>
      </c>
      <c r="J75" s="6"/>
      <c r="K75" s="6">
        <v>15660</v>
      </c>
      <c r="L75" s="8">
        <f t="shared" si="3"/>
        <v>28.189080459770114</v>
      </c>
      <c r="M75" s="6">
        <f>_xlfn.XLOOKUP(B75,'[3]Station Summary'!$A:$A,'[3]Station Summary'!$E:$E,0)</f>
        <v>456730</v>
      </c>
      <c r="N75" s="6">
        <f t="shared" si="4"/>
        <v>13701.9</v>
      </c>
      <c r="O75" s="24">
        <f t="shared" si="5"/>
        <v>0</v>
      </c>
    </row>
    <row r="76" spans="2:15" x14ac:dyDescent="0.35">
      <c r="B76" s="25" t="s">
        <v>89</v>
      </c>
      <c r="C76" s="4" t="s">
        <v>396</v>
      </c>
      <c r="D76" s="5">
        <v>177740582</v>
      </c>
      <c r="E76" s="6" t="s">
        <v>397</v>
      </c>
      <c r="F76" s="7">
        <v>13278</v>
      </c>
      <c r="G76" s="7"/>
      <c r="H76" s="6" t="s">
        <v>90</v>
      </c>
      <c r="I76" s="6" t="s">
        <v>316</v>
      </c>
      <c r="J76" s="6">
        <v>135</v>
      </c>
      <c r="K76" s="6">
        <v>447</v>
      </c>
      <c r="L76" s="8">
        <f t="shared" si="3"/>
        <v>22.814432989690722</v>
      </c>
      <c r="M76" s="6">
        <f>_xlfn.XLOOKUP(B76,'[3]Station Summary'!$A:$A,'[3]Station Summary'!$E:$E,0)</f>
        <v>15265</v>
      </c>
      <c r="N76" s="6">
        <f t="shared" si="4"/>
        <v>457.95</v>
      </c>
      <c r="O76" s="24">
        <f t="shared" si="5"/>
        <v>0.23195876288659795</v>
      </c>
    </row>
    <row r="77" spans="2:15" x14ac:dyDescent="0.35">
      <c r="B77" s="25" t="s">
        <v>91</v>
      </c>
      <c r="C77" s="4" t="s">
        <v>398</v>
      </c>
      <c r="D77" s="5">
        <v>178319339</v>
      </c>
      <c r="E77" s="6" t="s">
        <v>315</v>
      </c>
      <c r="F77" s="7">
        <v>25384</v>
      </c>
      <c r="G77" s="7"/>
      <c r="H77" s="6" t="s">
        <v>7</v>
      </c>
      <c r="I77" s="6" t="s">
        <v>316</v>
      </c>
      <c r="J77" s="6">
        <v>445</v>
      </c>
      <c r="K77" s="6">
        <v>764</v>
      </c>
      <c r="L77" s="8">
        <f t="shared" si="3"/>
        <v>20.995864350703059</v>
      </c>
      <c r="M77" s="6">
        <f>_xlfn.XLOOKUP(B77,'[3]Station Summary'!$A:$A,'[3]Station Summary'!$E:$E,0)</f>
        <v>31312</v>
      </c>
      <c r="N77" s="6">
        <f t="shared" si="4"/>
        <v>939.36</v>
      </c>
      <c r="O77" s="24">
        <f t="shared" si="5"/>
        <v>0.36807278742762611</v>
      </c>
    </row>
    <row r="78" spans="2:15" x14ac:dyDescent="0.35">
      <c r="B78" s="25" t="s">
        <v>92</v>
      </c>
      <c r="C78" s="4" t="s">
        <v>399</v>
      </c>
      <c r="D78" s="5">
        <v>196423426</v>
      </c>
      <c r="E78" s="6" t="s">
        <v>321</v>
      </c>
      <c r="F78" s="7">
        <v>167601</v>
      </c>
      <c r="G78" s="7"/>
      <c r="H78" s="6" t="s">
        <v>7</v>
      </c>
      <c r="I78" s="6" t="s">
        <v>389</v>
      </c>
      <c r="J78" s="6"/>
      <c r="K78" s="6">
        <v>6725</v>
      </c>
      <c r="L78" s="8">
        <f t="shared" si="3"/>
        <v>24.922081784386616</v>
      </c>
      <c r="M78" s="6">
        <f>_xlfn.XLOOKUP(B78,'[3]Station Summary'!$A:$A,'[3]Station Summary'!$E:$E,0)</f>
        <v>164246</v>
      </c>
      <c r="N78" s="6">
        <f t="shared" si="4"/>
        <v>4927.38</v>
      </c>
      <c r="O78" s="24">
        <f t="shared" si="5"/>
        <v>0</v>
      </c>
    </row>
    <row r="79" spans="2:15" x14ac:dyDescent="0.35">
      <c r="B79" s="25" t="s">
        <v>93</v>
      </c>
      <c r="C79" s="4" t="s">
        <v>400</v>
      </c>
      <c r="D79" s="5">
        <v>174188272</v>
      </c>
      <c r="E79" s="6" t="s">
        <v>321</v>
      </c>
      <c r="F79" s="7">
        <v>12804</v>
      </c>
      <c r="G79" s="7"/>
      <c r="H79" s="6" t="s">
        <v>7</v>
      </c>
      <c r="I79" s="6" t="s">
        <v>316</v>
      </c>
      <c r="J79" s="6">
        <v>197</v>
      </c>
      <c r="K79" s="6">
        <v>402</v>
      </c>
      <c r="L79" s="8">
        <f t="shared" si="3"/>
        <v>21.375626043405678</v>
      </c>
      <c r="M79" s="6">
        <f>_xlfn.XLOOKUP(B79,'[3]Station Summary'!$A:$A,'[3]Station Summary'!$E:$E,0)</f>
        <v>15597</v>
      </c>
      <c r="N79" s="6">
        <f t="shared" si="4"/>
        <v>467.90999999999997</v>
      </c>
      <c r="O79" s="24">
        <f t="shared" si="5"/>
        <v>0.328881469115192</v>
      </c>
    </row>
    <row r="80" spans="2:15" x14ac:dyDescent="0.35">
      <c r="B80" s="25" t="s">
        <v>94</v>
      </c>
      <c r="C80" s="4" t="s">
        <v>401</v>
      </c>
      <c r="D80" s="5">
        <v>175557400</v>
      </c>
      <c r="E80" s="6" t="s">
        <v>315</v>
      </c>
      <c r="F80" s="7">
        <v>16320</v>
      </c>
      <c r="G80" s="7"/>
      <c r="H80" s="6" t="s">
        <v>7</v>
      </c>
      <c r="I80" s="6" t="s">
        <v>316</v>
      </c>
      <c r="J80" s="6">
        <v>181</v>
      </c>
      <c r="K80" s="6">
        <v>562</v>
      </c>
      <c r="L80" s="8">
        <f t="shared" si="3"/>
        <v>21.9650067294751</v>
      </c>
      <c r="M80" s="6">
        <f>_xlfn.XLOOKUP(B80,'[3]Station Summary'!$A:$A,'[3]Station Summary'!$E:$E,0)</f>
        <v>13579</v>
      </c>
      <c r="N80" s="6">
        <f t="shared" si="4"/>
        <v>407.37</v>
      </c>
      <c r="O80" s="24">
        <f t="shared" si="5"/>
        <v>0.24360699865410498</v>
      </c>
    </row>
    <row r="81" spans="2:15" x14ac:dyDescent="0.35">
      <c r="B81" s="25" t="s">
        <v>95</v>
      </c>
      <c r="C81" s="4" t="s">
        <v>402</v>
      </c>
      <c r="D81" s="5">
        <v>175518020</v>
      </c>
      <c r="E81" s="6" t="s">
        <v>315</v>
      </c>
      <c r="F81" s="7">
        <v>209310</v>
      </c>
      <c r="G81" s="7"/>
      <c r="H81" s="6" t="s">
        <v>7</v>
      </c>
      <c r="I81" s="6" t="s">
        <v>346</v>
      </c>
      <c r="J81" s="6"/>
      <c r="K81" s="6">
        <v>7532</v>
      </c>
      <c r="L81" s="8">
        <f t="shared" si="3"/>
        <v>27.789431757833245</v>
      </c>
      <c r="M81" s="6">
        <f>_xlfn.XLOOKUP(B81,'[3]Station Summary'!$A:$A,'[3]Station Summary'!$E:$E,0)</f>
        <v>222208</v>
      </c>
      <c r="N81" s="6">
        <f t="shared" si="4"/>
        <v>6666.24</v>
      </c>
      <c r="O81" s="24">
        <f t="shared" si="5"/>
        <v>0</v>
      </c>
    </row>
    <row r="82" spans="2:15" x14ac:dyDescent="0.35">
      <c r="B82" s="25" t="s">
        <v>96</v>
      </c>
      <c r="C82" s="4" t="s">
        <v>403</v>
      </c>
      <c r="D82" s="5">
        <v>178334779</v>
      </c>
      <c r="E82" s="6" t="s">
        <v>315</v>
      </c>
      <c r="F82" s="7">
        <v>3730</v>
      </c>
      <c r="G82" s="7"/>
      <c r="H82" s="6" t="s">
        <v>7</v>
      </c>
      <c r="I82" s="6" t="s">
        <v>316</v>
      </c>
      <c r="J82" s="6">
        <v>51</v>
      </c>
      <c r="K82" s="6">
        <v>121</v>
      </c>
      <c r="L82" s="8">
        <f t="shared" si="3"/>
        <v>21.686046511627907</v>
      </c>
      <c r="M82" s="6">
        <f>_xlfn.XLOOKUP(B82,'[3]Station Summary'!$A:$A,'[3]Station Summary'!$E:$E,0)</f>
        <v>5984</v>
      </c>
      <c r="N82" s="6">
        <f t="shared" si="4"/>
        <v>179.51999999999998</v>
      </c>
      <c r="O82" s="24">
        <f t="shared" si="5"/>
        <v>0.29651162790697677</v>
      </c>
    </row>
    <row r="83" spans="2:15" x14ac:dyDescent="0.35">
      <c r="B83" s="25" t="s">
        <v>97</v>
      </c>
      <c r="C83" s="4" t="s">
        <v>404</v>
      </c>
      <c r="D83" s="5">
        <v>178520276</v>
      </c>
      <c r="E83" s="6" t="s">
        <v>315</v>
      </c>
      <c r="F83" s="7">
        <v>37257</v>
      </c>
      <c r="G83" s="7"/>
      <c r="H83" s="6" t="s">
        <v>7</v>
      </c>
      <c r="I83" s="6" t="s">
        <v>316</v>
      </c>
      <c r="J83" s="6">
        <v>641</v>
      </c>
      <c r="K83" s="6">
        <v>1146</v>
      </c>
      <c r="L83" s="8">
        <f t="shared" si="3"/>
        <v>20.848908785674315</v>
      </c>
      <c r="M83" s="6">
        <f>_xlfn.XLOOKUP(B83,'[3]Station Summary'!$A:$A,'[3]Station Summary'!$E:$E,0)</f>
        <v>46075</v>
      </c>
      <c r="N83" s="6">
        <f t="shared" si="4"/>
        <v>1382.25</v>
      </c>
      <c r="O83" s="24">
        <f t="shared" si="5"/>
        <v>0.35870173475097927</v>
      </c>
    </row>
    <row r="84" spans="2:15" x14ac:dyDescent="0.35">
      <c r="B84" s="25" t="s">
        <v>98</v>
      </c>
      <c r="C84" s="4" t="s">
        <v>405</v>
      </c>
      <c r="D84" s="5">
        <v>179227661</v>
      </c>
      <c r="E84" s="6" t="s">
        <v>315</v>
      </c>
      <c r="F84" s="7">
        <v>10084</v>
      </c>
      <c r="G84" s="7"/>
      <c r="H84" s="6" t="s">
        <v>7</v>
      </c>
      <c r="I84" s="6" t="s">
        <v>316</v>
      </c>
      <c r="J84" s="6">
        <v>138</v>
      </c>
      <c r="K84" s="6">
        <v>327</v>
      </c>
      <c r="L84" s="8">
        <f t="shared" si="3"/>
        <v>21.686021505376345</v>
      </c>
      <c r="M84" s="6">
        <f>_xlfn.XLOOKUP(B84,'[3]Station Summary'!$A:$A,'[3]Station Summary'!$E:$E,0)</f>
        <v>11374</v>
      </c>
      <c r="N84" s="6">
        <f t="shared" si="4"/>
        <v>341.21999999999997</v>
      </c>
      <c r="O84" s="24">
        <f t="shared" si="5"/>
        <v>0.29677419354838708</v>
      </c>
    </row>
    <row r="85" spans="2:15" x14ac:dyDescent="0.35">
      <c r="B85" s="25" t="s">
        <v>99</v>
      </c>
      <c r="C85" s="4" t="s">
        <v>406</v>
      </c>
      <c r="D85" s="5">
        <v>175304684</v>
      </c>
      <c r="E85" s="6" t="s">
        <v>315</v>
      </c>
      <c r="F85" s="7">
        <v>120382</v>
      </c>
      <c r="G85" s="7"/>
      <c r="H85" s="6" t="s">
        <v>7</v>
      </c>
      <c r="I85" s="6" t="s">
        <v>316</v>
      </c>
      <c r="J85" s="6">
        <v>1627</v>
      </c>
      <c r="K85" s="6">
        <v>3916</v>
      </c>
      <c r="L85" s="8">
        <f t="shared" si="3"/>
        <v>21.717842323651453</v>
      </c>
      <c r="M85" s="6">
        <f>_xlfn.XLOOKUP(B85,'[3]Station Summary'!$A:$A,'[3]Station Summary'!$E:$E,0)</f>
        <v>157931</v>
      </c>
      <c r="N85" s="6">
        <f t="shared" si="4"/>
        <v>4737.9299999999994</v>
      </c>
      <c r="O85" s="24">
        <f t="shared" si="5"/>
        <v>0.29352336279992786</v>
      </c>
    </row>
    <row r="86" spans="2:15" x14ac:dyDescent="0.35">
      <c r="B86" s="25" t="s">
        <v>100</v>
      </c>
      <c r="C86" s="4" t="s">
        <v>407</v>
      </c>
      <c r="D86" s="5">
        <v>178719589</v>
      </c>
      <c r="E86" s="6" t="s">
        <v>315</v>
      </c>
      <c r="F86" s="7">
        <v>45459</v>
      </c>
      <c r="G86" s="7"/>
      <c r="H86" s="6" t="s">
        <v>7</v>
      </c>
      <c r="I86" s="6" t="s">
        <v>316</v>
      </c>
      <c r="J86" s="6">
        <v>619</v>
      </c>
      <c r="K86" s="6">
        <v>1476</v>
      </c>
      <c r="L86" s="8">
        <f t="shared" si="3"/>
        <v>21.698806682577565</v>
      </c>
      <c r="M86" s="6">
        <f>_xlfn.XLOOKUP(B86,'[3]Station Summary'!$A:$A,'[3]Station Summary'!$E:$E,0)</f>
        <v>57012</v>
      </c>
      <c r="N86" s="6">
        <f t="shared" si="4"/>
        <v>1710.36</v>
      </c>
      <c r="O86" s="24">
        <f t="shared" si="5"/>
        <v>0.2954653937947494</v>
      </c>
    </row>
    <row r="87" spans="2:15" x14ac:dyDescent="0.35">
      <c r="B87" s="25" t="s">
        <v>101</v>
      </c>
      <c r="C87" s="4" t="s">
        <v>408</v>
      </c>
      <c r="D87" s="5">
        <v>177316118</v>
      </c>
      <c r="E87" s="6" t="s">
        <v>315</v>
      </c>
      <c r="F87" s="7">
        <v>4333</v>
      </c>
      <c r="G87" s="7"/>
      <c r="H87" s="6" t="s">
        <v>7</v>
      </c>
      <c r="I87" s="6" t="s">
        <v>316</v>
      </c>
      <c r="J87" s="6">
        <v>42</v>
      </c>
      <c r="K87" s="6">
        <v>151</v>
      </c>
      <c r="L87" s="8">
        <f t="shared" si="3"/>
        <v>22.45077720207254</v>
      </c>
      <c r="M87" s="6">
        <f>_xlfn.XLOOKUP(B87,'[3]Station Summary'!$A:$A,'[3]Station Summary'!$E:$E,0)</f>
        <v>4631</v>
      </c>
      <c r="N87" s="6">
        <f t="shared" si="4"/>
        <v>138.93</v>
      </c>
      <c r="O87" s="24">
        <f t="shared" si="5"/>
        <v>0.21761658031088082</v>
      </c>
    </row>
    <row r="88" spans="2:15" x14ac:dyDescent="0.35">
      <c r="B88" s="25" t="s">
        <v>102</v>
      </c>
      <c r="C88" s="4" t="s">
        <v>409</v>
      </c>
      <c r="D88" s="5">
        <v>195333246</v>
      </c>
      <c r="E88" s="6" t="s">
        <v>315</v>
      </c>
      <c r="F88" s="7">
        <v>318507</v>
      </c>
      <c r="G88" s="7"/>
      <c r="H88" s="6" t="s">
        <v>103</v>
      </c>
      <c r="I88" s="6" t="s">
        <v>316</v>
      </c>
      <c r="J88" s="6">
        <v>5202</v>
      </c>
      <c r="K88" s="6">
        <v>10079</v>
      </c>
      <c r="L88" s="8">
        <f t="shared" si="3"/>
        <v>20.843334860284013</v>
      </c>
      <c r="M88" s="6">
        <f>_xlfn.XLOOKUP(B88,'[3]Station Summary'!$A:$A,'[3]Station Summary'!$E:$E,0)</f>
        <v>437448</v>
      </c>
      <c r="N88" s="6">
        <f t="shared" si="4"/>
        <v>13123.439999999999</v>
      </c>
      <c r="O88" s="24">
        <f t="shared" si="5"/>
        <v>0.34042274720240823</v>
      </c>
    </row>
    <row r="89" spans="2:15" x14ac:dyDescent="0.35">
      <c r="B89" s="25" t="s">
        <v>104</v>
      </c>
      <c r="C89" s="4" t="s">
        <v>410</v>
      </c>
      <c r="D89" s="5">
        <v>188144156</v>
      </c>
      <c r="E89" s="6" t="s">
        <v>315</v>
      </c>
      <c r="F89" s="7">
        <v>118461</v>
      </c>
      <c r="G89" s="7"/>
      <c r="H89" s="6" t="s">
        <v>7</v>
      </c>
      <c r="I89" s="6" t="s">
        <v>316</v>
      </c>
      <c r="J89" s="6">
        <v>2513</v>
      </c>
      <c r="K89" s="6">
        <v>3301</v>
      </c>
      <c r="L89" s="8">
        <f t="shared" si="3"/>
        <v>20.375128998968009</v>
      </c>
      <c r="M89" s="6">
        <f>_xlfn.XLOOKUP(B89,'[3]Station Summary'!$A:$A,'[3]Station Summary'!$E:$E,0)</f>
        <v>132184</v>
      </c>
      <c r="N89" s="6">
        <f t="shared" si="4"/>
        <v>3965.52</v>
      </c>
      <c r="O89" s="24">
        <f t="shared" si="5"/>
        <v>0.43223254213966289</v>
      </c>
    </row>
    <row r="90" spans="2:15" x14ac:dyDescent="0.35">
      <c r="B90" s="23" t="s">
        <v>105</v>
      </c>
      <c r="C90" s="4">
        <v>92802499258</v>
      </c>
      <c r="D90" s="5">
        <v>197443035</v>
      </c>
      <c r="E90" s="6" t="s">
        <v>315</v>
      </c>
      <c r="F90" s="7">
        <v>9688</v>
      </c>
      <c r="G90" s="7"/>
      <c r="H90" s="6" t="s">
        <v>7</v>
      </c>
      <c r="I90" s="6" t="s">
        <v>359</v>
      </c>
      <c r="J90" s="6"/>
      <c r="K90" s="6">
        <v>483</v>
      </c>
      <c r="L90" s="8">
        <f t="shared" si="3"/>
        <v>20.057971014492754</v>
      </c>
      <c r="M90" s="6">
        <f>_xlfn.XLOOKUP(B90,'[3]Station Summary'!$A:$A,'[3]Station Summary'!$E:$E,0)</f>
        <v>5465</v>
      </c>
      <c r="N90" s="6">
        <f t="shared" si="4"/>
        <v>163.95</v>
      </c>
      <c r="O90" s="24">
        <f t="shared" si="5"/>
        <v>0</v>
      </c>
    </row>
    <row r="91" spans="2:15" x14ac:dyDescent="0.35">
      <c r="B91" s="23" t="s">
        <v>106</v>
      </c>
      <c r="C91" s="4"/>
      <c r="D91" s="5">
        <v>175647692</v>
      </c>
      <c r="E91" s="6" t="s">
        <v>329</v>
      </c>
      <c r="F91" s="7">
        <v>12648</v>
      </c>
      <c r="G91" s="7"/>
      <c r="H91" s="6" t="s">
        <v>7</v>
      </c>
      <c r="I91" s="6" t="s">
        <v>346</v>
      </c>
      <c r="J91" s="6"/>
      <c r="K91" s="6">
        <v>441</v>
      </c>
      <c r="L91" s="8">
        <f t="shared" si="3"/>
        <v>28.680272108843539</v>
      </c>
      <c r="M91" s="6">
        <f>_xlfn.XLOOKUP(B91,'[3]Station Summary'!$A:$A,'[3]Station Summary'!$E:$E,0)</f>
        <v>12285</v>
      </c>
      <c r="N91" s="6">
        <f t="shared" si="4"/>
        <v>368.55</v>
      </c>
      <c r="O91" s="24">
        <f t="shared" si="5"/>
        <v>0</v>
      </c>
    </row>
    <row r="92" spans="2:15" x14ac:dyDescent="0.35">
      <c r="B92" s="25" t="s">
        <v>107</v>
      </c>
      <c r="C92" s="4" t="s">
        <v>411</v>
      </c>
      <c r="D92" s="5">
        <v>188985121</v>
      </c>
      <c r="E92" s="6" t="s">
        <v>321</v>
      </c>
      <c r="F92" s="7">
        <v>69785</v>
      </c>
      <c r="G92" s="7"/>
      <c r="H92" s="6" t="s">
        <v>7</v>
      </c>
      <c r="I92" s="6" t="s">
        <v>316</v>
      </c>
      <c r="J92" s="6">
        <v>770</v>
      </c>
      <c r="K92" s="6">
        <v>2375</v>
      </c>
      <c r="L92" s="8">
        <f t="shared" si="3"/>
        <v>22.189189189189189</v>
      </c>
      <c r="M92" s="6">
        <f>_xlfn.XLOOKUP(B92,'[3]Station Summary'!$A:$A,'[3]Station Summary'!$E:$E,0)</f>
        <v>84071</v>
      </c>
      <c r="N92" s="6">
        <f t="shared" si="4"/>
        <v>2522.13</v>
      </c>
      <c r="O92" s="24">
        <f t="shared" si="5"/>
        <v>0.24483306836248012</v>
      </c>
    </row>
    <row r="93" spans="2:15" x14ac:dyDescent="0.35">
      <c r="B93" s="23" t="s">
        <v>108</v>
      </c>
      <c r="C93" s="4">
        <v>92802574910</v>
      </c>
      <c r="D93" s="5">
        <v>177437532</v>
      </c>
      <c r="E93" s="6" t="s">
        <v>315</v>
      </c>
      <c r="F93" s="9">
        <v>22097</v>
      </c>
      <c r="G93" s="9">
        <v>7474</v>
      </c>
      <c r="H93" s="6" t="s">
        <v>7</v>
      </c>
      <c r="I93" s="6" t="s">
        <v>390</v>
      </c>
      <c r="J93" s="6"/>
      <c r="K93" s="6">
        <v>297</v>
      </c>
      <c r="L93" s="8">
        <f t="shared" si="3"/>
        <v>25.164983164983166</v>
      </c>
      <c r="M93" s="6">
        <f>_xlfn.XLOOKUP(B93,'[3]Station Summary'!$A:$A,'[3]Station Summary'!$E:$E,0)</f>
        <v>7246</v>
      </c>
      <c r="N93" s="6">
        <f t="shared" si="4"/>
        <v>217.38</v>
      </c>
      <c r="O93" s="24">
        <f t="shared" si="5"/>
        <v>0</v>
      </c>
    </row>
    <row r="94" spans="2:15" x14ac:dyDescent="0.35">
      <c r="B94" s="25" t="s">
        <v>109</v>
      </c>
      <c r="C94" s="4" t="s">
        <v>412</v>
      </c>
      <c r="D94" s="5">
        <v>178105884</v>
      </c>
      <c r="E94" s="6" t="s">
        <v>315</v>
      </c>
      <c r="F94" s="7">
        <v>130358</v>
      </c>
      <c r="G94" s="7"/>
      <c r="H94" s="6" t="s">
        <v>103</v>
      </c>
      <c r="I94" s="6" t="s">
        <v>316</v>
      </c>
      <c r="J94" s="6">
        <v>1764</v>
      </c>
      <c r="K94" s="6">
        <v>4294</v>
      </c>
      <c r="L94" s="8">
        <f t="shared" si="3"/>
        <v>21.5183228788379</v>
      </c>
      <c r="M94" s="6">
        <f>_xlfn.XLOOKUP(B94,'[3]Station Summary'!$A:$A,'[3]Station Summary'!$E:$E,0)</f>
        <v>160409</v>
      </c>
      <c r="N94" s="6">
        <f t="shared" si="4"/>
        <v>4812.2699999999995</v>
      </c>
      <c r="O94" s="24">
        <f t="shared" si="5"/>
        <v>0.29118520964014527</v>
      </c>
    </row>
    <row r="95" spans="2:15" x14ac:dyDescent="0.35">
      <c r="B95" s="25" t="s">
        <v>110</v>
      </c>
      <c r="C95" s="4" t="s">
        <v>413</v>
      </c>
      <c r="D95" s="5">
        <v>178808861</v>
      </c>
      <c r="E95" s="6" t="s">
        <v>315</v>
      </c>
      <c r="F95" s="7">
        <v>48720</v>
      </c>
      <c r="G95" s="7"/>
      <c r="H95" s="6" t="s">
        <v>7</v>
      </c>
      <c r="I95" s="6" t="s">
        <v>316</v>
      </c>
      <c r="J95" s="6">
        <v>475</v>
      </c>
      <c r="K95" s="6">
        <v>1696</v>
      </c>
      <c r="L95" s="8">
        <f t="shared" si="3"/>
        <v>22.441271303546753</v>
      </c>
      <c r="M95" s="6">
        <f>_xlfn.XLOOKUP(B95,'[3]Station Summary'!$A:$A,'[3]Station Summary'!$E:$E,0)</f>
        <v>43608</v>
      </c>
      <c r="N95" s="6">
        <f t="shared" si="4"/>
        <v>1308.24</v>
      </c>
      <c r="O95" s="24">
        <f t="shared" si="5"/>
        <v>0.21879318286503915</v>
      </c>
    </row>
    <row r="96" spans="2:15" x14ac:dyDescent="0.35">
      <c r="B96" s="25" t="s">
        <v>111</v>
      </c>
      <c r="C96" s="4" t="s">
        <v>414</v>
      </c>
      <c r="D96" s="5">
        <v>178554952</v>
      </c>
      <c r="E96" s="6" t="s">
        <v>315</v>
      </c>
      <c r="F96" s="7">
        <v>344628</v>
      </c>
      <c r="G96" s="7"/>
      <c r="H96" s="6" t="s">
        <v>7</v>
      </c>
      <c r="I96" s="6" t="s">
        <v>316</v>
      </c>
      <c r="J96" s="6">
        <v>8168</v>
      </c>
      <c r="K96" s="6">
        <v>9276</v>
      </c>
      <c r="L96" s="8">
        <f t="shared" si="3"/>
        <v>19.756248566842466</v>
      </c>
      <c r="M96" s="6">
        <f>_xlfn.XLOOKUP(B96,'[3]Station Summary'!$A:$A,'[3]Station Summary'!$E:$E,0)</f>
        <v>424072</v>
      </c>
      <c r="N96" s="6">
        <f t="shared" si="4"/>
        <v>12722.16</v>
      </c>
      <c r="O96" s="24">
        <f t="shared" si="5"/>
        <v>0.46824122907590005</v>
      </c>
    </row>
    <row r="97" spans="2:15" x14ac:dyDescent="0.35">
      <c r="B97" s="25" t="s">
        <v>112</v>
      </c>
      <c r="C97" s="4" t="s">
        <v>415</v>
      </c>
      <c r="D97" s="5">
        <v>175350562</v>
      </c>
      <c r="E97" s="6" t="s">
        <v>315</v>
      </c>
      <c r="F97" s="7">
        <v>144984</v>
      </c>
      <c r="G97" s="7"/>
      <c r="H97" s="6" t="s">
        <v>7</v>
      </c>
      <c r="I97" s="6" t="s">
        <v>316</v>
      </c>
      <c r="J97" s="6">
        <v>2097</v>
      </c>
      <c r="K97" s="6">
        <v>4633</v>
      </c>
      <c r="L97" s="8">
        <f t="shared" si="3"/>
        <v>21.542942050520061</v>
      </c>
      <c r="M97" s="6">
        <f>_xlfn.XLOOKUP(B97,'[3]Station Summary'!$A:$A,'[3]Station Summary'!$E:$E,0)</f>
        <v>196463</v>
      </c>
      <c r="N97" s="6">
        <f t="shared" si="4"/>
        <v>5893.8899999999994</v>
      </c>
      <c r="O97" s="24">
        <f t="shared" si="5"/>
        <v>0.31158989598811293</v>
      </c>
    </row>
    <row r="98" spans="2:15" x14ac:dyDescent="0.35">
      <c r="B98" s="25" t="s">
        <v>113</v>
      </c>
      <c r="C98" s="4" t="s">
        <v>416</v>
      </c>
      <c r="D98" s="5">
        <v>181063340</v>
      </c>
      <c r="E98" s="6" t="s">
        <v>315</v>
      </c>
      <c r="F98" s="7">
        <v>101382</v>
      </c>
      <c r="G98" s="7"/>
      <c r="H98" s="6" t="s">
        <v>7</v>
      </c>
      <c r="I98" s="6" t="s">
        <v>316</v>
      </c>
      <c r="J98" s="6">
        <v>1791</v>
      </c>
      <c r="K98" s="6">
        <v>3043</v>
      </c>
      <c r="L98" s="8">
        <f t="shared" si="3"/>
        <v>20.972693421597022</v>
      </c>
      <c r="M98" s="6">
        <f>_xlfn.XLOOKUP(B98,'[3]Station Summary'!$A:$A,'[3]Station Summary'!$E:$E,0)</f>
        <v>133741</v>
      </c>
      <c r="N98" s="6">
        <f t="shared" si="4"/>
        <v>4012.23</v>
      </c>
      <c r="O98" s="24">
        <f t="shared" si="5"/>
        <v>0.37050062060405459</v>
      </c>
    </row>
    <row r="99" spans="2:15" x14ac:dyDescent="0.35">
      <c r="B99" s="25" t="s">
        <v>114</v>
      </c>
      <c r="C99" s="4" t="s">
        <v>417</v>
      </c>
      <c r="D99" s="5">
        <v>191657162</v>
      </c>
      <c r="E99" s="6" t="s">
        <v>315</v>
      </c>
      <c r="F99" s="7">
        <v>196236</v>
      </c>
      <c r="G99" s="7"/>
      <c r="H99" s="6" t="s">
        <v>7</v>
      </c>
      <c r="I99" s="6" t="s">
        <v>316</v>
      </c>
      <c r="J99" s="6">
        <v>4898</v>
      </c>
      <c r="K99" s="6">
        <v>5120</v>
      </c>
      <c r="L99" s="8">
        <f t="shared" si="3"/>
        <v>19.588340986224797</v>
      </c>
      <c r="M99" s="6">
        <f>_xlfn.XLOOKUP(B99,'[3]Station Summary'!$A:$A,'[3]Station Summary'!$E:$E,0)</f>
        <v>272942</v>
      </c>
      <c r="N99" s="6">
        <f t="shared" si="4"/>
        <v>8188.2599999999993</v>
      </c>
      <c r="O99" s="24">
        <f t="shared" si="5"/>
        <v>0.4889199441006189</v>
      </c>
    </row>
    <row r="100" spans="2:15" x14ac:dyDescent="0.35">
      <c r="B100" s="25" t="s">
        <v>115</v>
      </c>
      <c r="C100" s="4" t="s">
        <v>418</v>
      </c>
      <c r="D100" s="5">
        <v>166615310</v>
      </c>
      <c r="E100" s="6" t="s">
        <v>315</v>
      </c>
      <c r="F100" s="7">
        <v>56514</v>
      </c>
      <c r="G100" s="7"/>
      <c r="H100" s="6" t="s">
        <v>5</v>
      </c>
      <c r="I100" s="6" t="s">
        <v>316</v>
      </c>
      <c r="J100" s="6">
        <v>58</v>
      </c>
      <c r="K100" s="6">
        <v>2266</v>
      </c>
      <c r="L100" s="8">
        <f t="shared" si="3"/>
        <v>24.317555938037867</v>
      </c>
      <c r="M100" s="6">
        <f>_xlfn.XLOOKUP(B100,'[3]Station Summary'!$A:$A,'[3]Station Summary'!$E:$E,0)</f>
        <v>61169</v>
      </c>
      <c r="N100" s="6">
        <f t="shared" si="4"/>
        <v>1835.07</v>
      </c>
      <c r="O100" s="24">
        <f t="shared" si="5"/>
        <v>2.4956970740103269E-2</v>
      </c>
    </row>
    <row r="101" spans="2:15" x14ac:dyDescent="0.35">
      <c r="B101" s="25" t="s">
        <v>116</v>
      </c>
      <c r="C101" s="4" t="s">
        <v>419</v>
      </c>
      <c r="D101" s="5">
        <v>179807383</v>
      </c>
      <c r="E101" s="6" t="s">
        <v>345</v>
      </c>
      <c r="F101" s="7">
        <v>398724</v>
      </c>
      <c r="G101" s="7"/>
      <c r="H101" s="6" t="s">
        <v>7</v>
      </c>
      <c r="I101" s="6" t="s">
        <v>316</v>
      </c>
      <c r="J101" s="6">
        <v>10272</v>
      </c>
      <c r="K101" s="6">
        <v>10012</v>
      </c>
      <c r="L101" s="8">
        <f t="shared" si="3"/>
        <v>19.657069611516466</v>
      </c>
      <c r="M101" s="6">
        <f>_xlfn.XLOOKUP(B101,'[3]Station Summary'!$A:$A,'[3]Station Summary'!$E:$E,0)</f>
        <v>352355</v>
      </c>
      <c r="N101" s="6">
        <f t="shared" si="4"/>
        <v>10570.65</v>
      </c>
      <c r="O101" s="24">
        <f t="shared" si="5"/>
        <v>0.50640899230920922</v>
      </c>
    </row>
    <row r="102" spans="2:15" x14ac:dyDescent="0.35">
      <c r="B102" s="25" t="s">
        <v>117</v>
      </c>
      <c r="C102" s="4" t="s">
        <v>420</v>
      </c>
      <c r="D102" s="5">
        <v>193483126</v>
      </c>
      <c r="E102" s="6" t="s">
        <v>421</v>
      </c>
      <c r="F102" s="7">
        <v>270280</v>
      </c>
      <c r="G102" s="7"/>
      <c r="H102" s="6" t="s">
        <v>7</v>
      </c>
      <c r="I102" s="6" t="s">
        <v>359</v>
      </c>
      <c r="J102" s="6"/>
      <c r="K102" s="6">
        <v>13475</v>
      </c>
      <c r="L102" s="8">
        <f t="shared" si="3"/>
        <v>20.057884972170687</v>
      </c>
      <c r="M102" s="6">
        <f>_xlfn.XLOOKUP(B102,'[3]Station Summary'!$A:$A,'[3]Station Summary'!$E:$E,0)</f>
        <v>374734</v>
      </c>
      <c r="N102" s="6">
        <f t="shared" si="4"/>
        <v>11242.02</v>
      </c>
      <c r="O102" s="24">
        <f t="shared" si="5"/>
        <v>0</v>
      </c>
    </row>
    <row r="103" spans="2:15" ht="16" x14ac:dyDescent="0.4">
      <c r="B103" s="26" t="s">
        <v>118</v>
      </c>
      <c r="C103" s="4" t="s">
        <v>422</v>
      </c>
      <c r="D103" s="5">
        <v>178920728</v>
      </c>
      <c r="E103" s="6" t="s">
        <v>423</v>
      </c>
      <c r="F103" s="9">
        <v>12393</v>
      </c>
      <c r="G103" s="9"/>
      <c r="H103" s="6" t="s">
        <v>119</v>
      </c>
      <c r="I103" s="6" t="s">
        <v>316</v>
      </c>
      <c r="J103" s="6">
        <v>135</v>
      </c>
      <c r="K103" s="6">
        <v>409</v>
      </c>
      <c r="L103" s="8">
        <f t="shared" si="3"/>
        <v>22.78125</v>
      </c>
      <c r="M103" s="6">
        <f>_xlfn.XLOOKUP(B103,'[3]Station Summary'!$A:$A,'[3]Station Summary'!$E:$E,0)</f>
        <v>18367</v>
      </c>
      <c r="N103" s="6">
        <f t="shared" si="4"/>
        <v>551.01</v>
      </c>
      <c r="O103" s="24">
        <f t="shared" si="5"/>
        <v>0.24816176470588236</v>
      </c>
    </row>
    <row r="104" spans="2:15" x14ac:dyDescent="0.35">
      <c r="B104" s="25" t="s">
        <v>120</v>
      </c>
      <c r="C104" s="4" t="s">
        <v>424</v>
      </c>
      <c r="D104" s="5">
        <v>178577078</v>
      </c>
      <c r="E104" s="6" t="s">
        <v>315</v>
      </c>
      <c r="F104" s="7">
        <v>458103</v>
      </c>
      <c r="G104" s="7"/>
      <c r="H104" s="6" t="s">
        <v>7</v>
      </c>
      <c r="I104" s="6" t="s">
        <v>316</v>
      </c>
      <c r="J104" s="6">
        <v>10922</v>
      </c>
      <c r="K104" s="6">
        <v>12036</v>
      </c>
      <c r="L104" s="8">
        <f t="shared" si="3"/>
        <v>19.953959404129279</v>
      </c>
      <c r="M104" s="6">
        <f>_xlfn.XLOOKUP(B104,'[3]Station Summary'!$A:$A,'[3]Station Summary'!$E:$E,0)</f>
        <v>680799</v>
      </c>
      <c r="N104" s="6">
        <f t="shared" si="4"/>
        <v>20423.969999999998</v>
      </c>
      <c r="O104" s="24">
        <f t="shared" si="5"/>
        <v>0.4757383047303772</v>
      </c>
    </row>
    <row r="105" spans="2:15" x14ac:dyDescent="0.35">
      <c r="B105" s="23" t="s">
        <v>121</v>
      </c>
      <c r="C105" s="4" t="s">
        <v>425</v>
      </c>
      <c r="D105" s="5">
        <v>33310178</v>
      </c>
      <c r="E105" s="6" t="s">
        <v>315</v>
      </c>
      <c r="F105" s="9">
        <v>21886</v>
      </c>
      <c r="G105" s="9"/>
      <c r="H105" s="6" t="s">
        <v>7</v>
      </c>
      <c r="I105" s="6" t="s">
        <v>332</v>
      </c>
      <c r="J105" s="6"/>
      <c r="K105" s="6">
        <v>791</v>
      </c>
      <c r="L105" s="8">
        <f t="shared" si="3"/>
        <v>27.668773704171933</v>
      </c>
      <c r="M105" s="6">
        <f>_xlfn.XLOOKUP(B105,'[3]Station Summary'!$A:$A,'[3]Station Summary'!$E:$E,0)</f>
        <v>15623</v>
      </c>
      <c r="N105" s="6">
        <f t="shared" si="4"/>
        <v>468.69</v>
      </c>
      <c r="O105" s="24">
        <f t="shared" si="5"/>
        <v>0</v>
      </c>
    </row>
    <row r="106" spans="2:15" x14ac:dyDescent="0.35">
      <c r="B106" s="25" t="s">
        <v>122</v>
      </c>
      <c r="C106" s="4" t="s">
        <v>426</v>
      </c>
      <c r="D106" s="5">
        <v>158815399</v>
      </c>
      <c r="E106" s="6" t="s">
        <v>315</v>
      </c>
      <c r="F106" s="7">
        <v>3391</v>
      </c>
      <c r="G106" s="7"/>
      <c r="H106" s="6" t="s">
        <v>5</v>
      </c>
      <c r="I106" s="6" t="s">
        <v>316</v>
      </c>
      <c r="J106" s="6">
        <v>20</v>
      </c>
      <c r="K106" s="6">
        <v>126</v>
      </c>
      <c r="L106" s="8">
        <f t="shared" si="3"/>
        <v>23.226027397260275</v>
      </c>
      <c r="M106" s="6">
        <f>_xlfn.XLOOKUP(B106,'[3]Station Summary'!$A:$A,'[3]Station Summary'!$E:$E,0)</f>
        <v>3885</v>
      </c>
      <c r="N106" s="6">
        <f t="shared" si="4"/>
        <v>116.55</v>
      </c>
      <c r="O106" s="24">
        <f t="shared" si="5"/>
        <v>0.13698630136986301</v>
      </c>
    </row>
    <row r="107" spans="2:15" x14ac:dyDescent="0.35">
      <c r="B107" s="25" t="s">
        <v>123</v>
      </c>
      <c r="C107" s="4" t="s">
        <v>427</v>
      </c>
      <c r="D107" s="5">
        <v>178642672</v>
      </c>
      <c r="E107" s="6" t="s">
        <v>315</v>
      </c>
      <c r="F107" s="7">
        <v>27810</v>
      </c>
      <c r="G107" s="7"/>
      <c r="H107" s="6" t="s">
        <v>7</v>
      </c>
      <c r="I107" s="6" t="s">
        <v>316</v>
      </c>
      <c r="J107" s="6">
        <v>399</v>
      </c>
      <c r="K107" s="6">
        <v>1062</v>
      </c>
      <c r="L107" s="8">
        <f t="shared" si="3"/>
        <v>19.034907597535934</v>
      </c>
      <c r="M107" s="6">
        <f>_xlfn.XLOOKUP(B107,'[3]Station Summary'!$A:$A,'[3]Station Summary'!$E:$E,0)</f>
        <v>44134</v>
      </c>
      <c r="N107" s="6">
        <f t="shared" si="4"/>
        <v>1324.02</v>
      </c>
      <c r="O107" s="24">
        <f t="shared" si="5"/>
        <v>0.2731006160164271</v>
      </c>
    </row>
    <row r="108" spans="2:15" x14ac:dyDescent="0.35">
      <c r="B108" s="25" t="s">
        <v>124</v>
      </c>
      <c r="C108" s="4" t="s">
        <v>428</v>
      </c>
      <c r="D108" s="5">
        <v>177271493</v>
      </c>
      <c r="E108" s="6" t="s">
        <v>321</v>
      </c>
      <c r="F108" s="7">
        <v>73477</v>
      </c>
      <c r="G108" s="7"/>
      <c r="H108" s="6" t="s">
        <v>7</v>
      </c>
      <c r="I108" s="6" t="s">
        <v>316</v>
      </c>
      <c r="J108" s="6">
        <v>655</v>
      </c>
      <c r="K108" s="6">
        <v>2595</v>
      </c>
      <c r="L108" s="8">
        <f t="shared" si="3"/>
        <v>22.608307692307694</v>
      </c>
      <c r="M108" s="6">
        <f>_xlfn.XLOOKUP(B108,'[3]Station Summary'!$A:$A,'[3]Station Summary'!$E:$E,0)</f>
        <v>80950</v>
      </c>
      <c r="N108" s="6">
        <f t="shared" si="4"/>
        <v>2428.5</v>
      </c>
      <c r="O108" s="24">
        <f t="shared" si="5"/>
        <v>0.20153846153846153</v>
      </c>
    </row>
    <row r="109" spans="2:15" x14ac:dyDescent="0.35">
      <c r="B109" s="25" t="s">
        <v>125</v>
      </c>
      <c r="C109" s="4" t="s">
        <v>429</v>
      </c>
      <c r="D109" s="5">
        <v>177357912</v>
      </c>
      <c r="E109" s="6" t="s">
        <v>321</v>
      </c>
      <c r="F109" s="7">
        <v>29135</v>
      </c>
      <c r="G109" s="7"/>
      <c r="H109" s="6" t="s">
        <v>7</v>
      </c>
      <c r="I109" s="6" t="s">
        <v>316</v>
      </c>
      <c r="J109" s="6">
        <v>395</v>
      </c>
      <c r="K109" s="6">
        <v>947</v>
      </c>
      <c r="L109" s="8">
        <f t="shared" si="3"/>
        <v>21.710134128166914</v>
      </c>
      <c r="M109" s="6">
        <f>_xlfn.XLOOKUP(B109,'[3]Station Summary'!$A:$A,'[3]Station Summary'!$E:$E,0)</f>
        <v>33319</v>
      </c>
      <c r="N109" s="6">
        <f t="shared" si="4"/>
        <v>999.56999999999994</v>
      </c>
      <c r="O109" s="24">
        <f t="shared" si="5"/>
        <v>0.29433681073025336</v>
      </c>
    </row>
    <row r="110" spans="2:15" ht="16" x14ac:dyDescent="0.4">
      <c r="B110" s="26" t="s">
        <v>126</v>
      </c>
      <c r="C110" s="4" t="s">
        <v>430</v>
      </c>
      <c r="D110" s="5">
        <v>179233871</v>
      </c>
      <c r="E110" s="6" t="s">
        <v>315</v>
      </c>
      <c r="F110" s="9">
        <v>5432</v>
      </c>
      <c r="G110" s="9"/>
      <c r="H110" s="6" t="s">
        <v>7</v>
      </c>
      <c r="I110" s="6" t="s">
        <v>316</v>
      </c>
      <c r="J110" s="6">
        <v>101</v>
      </c>
      <c r="K110" s="6">
        <v>160</v>
      </c>
      <c r="L110" s="8">
        <f t="shared" si="3"/>
        <v>20.812260536398469</v>
      </c>
      <c r="M110" s="6">
        <f>_xlfn.XLOOKUP(B110,'[3]Station Summary'!$A:$A,'[3]Station Summary'!$E:$E,0)</f>
        <v>7003</v>
      </c>
      <c r="N110" s="6">
        <f t="shared" si="4"/>
        <v>210.09</v>
      </c>
      <c r="O110" s="24">
        <f t="shared" si="5"/>
        <v>0.38697318007662834</v>
      </c>
    </row>
    <row r="111" spans="2:15" x14ac:dyDescent="0.35">
      <c r="B111" s="25" t="s">
        <v>127</v>
      </c>
      <c r="C111" s="4" t="s">
        <v>431</v>
      </c>
      <c r="D111" s="5">
        <v>195906712</v>
      </c>
      <c r="E111" s="6" t="s">
        <v>315</v>
      </c>
      <c r="F111" s="7">
        <v>119786</v>
      </c>
      <c r="G111" s="7"/>
      <c r="H111" s="6" t="s">
        <v>7</v>
      </c>
      <c r="I111" s="6" t="s">
        <v>316</v>
      </c>
      <c r="J111" s="6">
        <v>1994</v>
      </c>
      <c r="K111" s="6">
        <v>3693</v>
      </c>
      <c r="L111" s="8">
        <f t="shared" si="3"/>
        <v>21.063126428697029</v>
      </c>
      <c r="M111" s="6">
        <f>_xlfn.XLOOKUP(B111,'[3]Station Summary'!$A:$A,'[3]Station Summary'!$E:$E,0)</f>
        <v>157588</v>
      </c>
      <c r="N111" s="6">
        <f t="shared" si="4"/>
        <v>4727.6399999999994</v>
      </c>
      <c r="O111" s="24">
        <f t="shared" si="5"/>
        <v>0.35062423070160015</v>
      </c>
    </row>
    <row r="112" spans="2:15" ht="16" x14ac:dyDescent="0.4">
      <c r="B112" s="26" t="s">
        <v>128</v>
      </c>
      <c r="C112" s="4">
        <v>37288268289</v>
      </c>
      <c r="D112" s="5">
        <v>20441713</v>
      </c>
      <c r="E112" s="6" t="s">
        <v>315</v>
      </c>
      <c r="F112" s="9">
        <v>31726.5</v>
      </c>
      <c r="G112" s="9">
        <v>26841</v>
      </c>
      <c r="H112" s="6" t="s">
        <v>5</v>
      </c>
      <c r="I112" s="6" t="s">
        <v>389</v>
      </c>
      <c r="J112" s="6"/>
      <c r="K112" s="6">
        <v>1077</v>
      </c>
      <c r="L112" s="8">
        <f t="shared" si="3"/>
        <v>24.922005571030642</v>
      </c>
      <c r="M112" s="6">
        <f>_xlfn.XLOOKUP(B112,'[3]Station Summary'!$A:$A,'[3]Station Summary'!$E:$E,0)</f>
        <v>23851</v>
      </c>
      <c r="N112" s="6">
        <f t="shared" si="4"/>
        <v>715.53</v>
      </c>
      <c r="O112" s="24">
        <f t="shared" si="5"/>
        <v>0</v>
      </c>
    </row>
    <row r="113" spans="2:15" x14ac:dyDescent="0.35">
      <c r="B113" s="25" t="s">
        <v>129</v>
      </c>
      <c r="C113" s="4" t="s">
        <v>432</v>
      </c>
      <c r="D113" s="5">
        <v>178254817</v>
      </c>
      <c r="E113" s="6" t="s">
        <v>315</v>
      </c>
      <c r="F113" s="7">
        <v>37363</v>
      </c>
      <c r="G113" s="7"/>
      <c r="H113" s="6" t="s">
        <v>7</v>
      </c>
      <c r="I113" s="6" t="s">
        <v>316</v>
      </c>
      <c r="J113" s="6">
        <v>608</v>
      </c>
      <c r="K113" s="6">
        <v>1153</v>
      </c>
      <c r="L113" s="8">
        <f t="shared" si="3"/>
        <v>21.216922203293585</v>
      </c>
      <c r="M113" s="6">
        <f>_xlfn.XLOOKUP(B113,'[3]Station Summary'!$A:$A,'[3]Station Summary'!$E:$E,0)</f>
        <v>38953</v>
      </c>
      <c r="N113" s="6">
        <f t="shared" si="4"/>
        <v>1168.5899999999999</v>
      </c>
      <c r="O113" s="24">
        <f t="shared" si="5"/>
        <v>0.34525837592277114</v>
      </c>
    </row>
    <row r="114" spans="2:15" x14ac:dyDescent="0.35">
      <c r="B114" s="25" t="s">
        <v>130</v>
      </c>
      <c r="C114" s="4" t="s">
        <v>433</v>
      </c>
      <c r="D114" s="5">
        <v>177172774</v>
      </c>
      <c r="E114" s="6" t="s">
        <v>315</v>
      </c>
      <c r="F114" s="7">
        <v>56157</v>
      </c>
      <c r="G114" s="7"/>
      <c r="H114" s="6" t="s">
        <v>7</v>
      </c>
      <c r="I114" s="6" t="s">
        <v>316</v>
      </c>
      <c r="J114" s="6">
        <v>686</v>
      </c>
      <c r="K114" s="6">
        <v>1871</v>
      </c>
      <c r="L114" s="8">
        <f t="shared" si="3"/>
        <v>21.962064919827924</v>
      </c>
      <c r="M114" s="6">
        <f>_xlfn.XLOOKUP(B114,'[3]Station Summary'!$A:$A,'[3]Station Summary'!$E:$E,0)</f>
        <v>66192</v>
      </c>
      <c r="N114" s="6">
        <f t="shared" si="4"/>
        <v>1985.76</v>
      </c>
      <c r="O114" s="24">
        <f t="shared" si="5"/>
        <v>0.26828314430973799</v>
      </c>
    </row>
    <row r="115" spans="2:15" x14ac:dyDescent="0.35">
      <c r="B115" s="25" t="s">
        <v>131</v>
      </c>
      <c r="C115" s="4" t="s">
        <v>434</v>
      </c>
      <c r="D115" s="5">
        <v>178255028</v>
      </c>
      <c r="E115" s="6" t="s">
        <v>315</v>
      </c>
      <c r="F115" s="7">
        <v>110553</v>
      </c>
      <c r="G115" s="7"/>
      <c r="H115" s="6" t="s">
        <v>7</v>
      </c>
      <c r="I115" s="6" t="s">
        <v>316</v>
      </c>
      <c r="J115" s="6">
        <v>1554</v>
      </c>
      <c r="K115" s="6">
        <v>3613</v>
      </c>
      <c r="L115" s="8">
        <f t="shared" si="3"/>
        <v>21.395974453261079</v>
      </c>
      <c r="M115" s="6">
        <f>_xlfn.XLOOKUP(B115,'[3]Station Summary'!$A:$A,'[3]Station Summary'!$E:$E,0)</f>
        <v>143450</v>
      </c>
      <c r="N115" s="6">
        <f t="shared" si="4"/>
        <v>4303.5</v>
      </c>
      <c r="O115" s="24">
        <f t="shared" si="5"/>
        <v>0.30075479001354749</v>
      </c>
    </row>
    <row r="116" spans="2:15" x14ac:dyDescent="0.35">
      <c r="B116" s="25" t="s">
        <v>132</v>
      </c>
      <c r="C116" s="4" t="s">
        <v>435</v>
      </c>
      <c r="D116" s="5">
        <v>177468543</v>
      </c>
      <c r="E116" s="6" t="s">
        <v>315</v>
      </c>
      <c r="F116" s="7">
        <v>115183</v>
      </c>
      <c r="G116" s="7"/>
      <c r="H116" s="6" t="s">
        <v>7</v>
      </c>
      <c r="I116" s="6" t="s">
        <v>316</v>
      </c>
      <c r="J116" s="6">
        <v>1474</v>
      </c>
      <c r="K116" s="6">
        <v>3797</v>
      </c>
      <c r="L116" s="8">
        <f t="shared" si="3"/>
        <v>21.852210206791881</v>
      </c>
      <c r="M116" s="6">
        <f>_xlfn.XLOOKUP(B116,'[3]Station Summary'!$A:$A,'[3]Station Summary'!$E:$E,0)</f>
        <v>151070</v>
      </c>
      <c r="N116" s="6">
        <f t="shared" si="4"/>
        <v>4532.0999999999995</v>
      </c>
      <c r="O116" s="24">
        <f t="shared" si="5"/>
        <v>0.2796433314361601</v>
      </c>
    </row>
    <row r="117" spans="2:15" x14ac:dyDescent="0.35">
      <c r="B117" s="25" t="s">
        <v>133</v>
      </c>
      <c r="C117" s="4" t="s">
        <v>436</v>
      </c>
      <c r="D117" s="5">
        <v>177995685</v>
      </c>
      <c r="E117" s="6" t="s">
        <v>315</v>
      </c>
      <c r="F117" s="7">
        <v>21263</v>
      </c>
      <c r="G117" s="7">
        <v>90882</v>
      </c>
      <c r="H117" s="6" t="s">
        <v>7</v>
      </c>
      <c r="I117" s="6" t="s">
        <v>316</v>
      </c>
      <c r="J117" s="6">
        <v>1597</v>
      </c>
      <c r="K117" s="6">
        <v>2733</v>
      </c>
      <c r="L117" s="8">
        <f t="shared" si="3"/>
        <v>20.988914549653579</v>
      </c>
      <c r="M117" s="6">
        <f>_xlfn.XLOOKUP(B117,'[3]Station Summary'!$A:$A,'[3]Station Summary'!$E:$E,0)</f>
        <v>124488</v>
      </c>
      <c r="N117" s="6">
        <f t="shared" si="4"/>
        <v>3734.64</v>
      </c>
      <c r="O117" s="24">
        <f t="shared" si="5"/>
        <v>0.36882217090069286</v>
      </c>
    </row>
    <row r="118" spans="2:15" x14ac:dyDescent="0.35">
      <c r="B118" s="23" t="s">
        <v>134</v>
      </c>
      <c r="C118" s="4">
        <v>92802556644</v>
      </c>
      <c r="D118" s="5">
        <v>177042247</v>
      </c>
      <c r="E118" s="6" t="s">
        <v>315</v>
      </c>
      <c r="F118" s="9">
        <v>75640</v>
      </c>
      <c r="G118" s="9"/>
      <c r="H118" s="6" t="s">
        <v>7</v>
      </c>
      <c r="I118" s="6" t="s">
        <v>316</v>
      </c>
      <c r="J118" s="6">
        <v>1185</v>
      </c>
      <c r="K118" s="6">
        <v>2362</v>
      </c>
      <c r="L118" s="8">
        <f t="shared" si="3"/>
        <v>21.325063433887792</v>
      </c>
      <c r="M118" s="6">
        <f>_xlfn.XLOOKUP(B118,'[3]Station Summary'!$A:$A,'[3]Station Summary'!$E:$E,0)</f>
        <v>90768</v>
      </c>
      <c r="N118" s="6">
        <f t="shared" si="4"/>
        <v>2723.04</v>
      </c>
      <c r="O118" s="24">
        <f t="shared" si="5"/>
        <v>0.33408514237383702</v>
      </c>
    </row>
    <row r="119" spans="2:15" x14ac:dyDescent="0.35">
      <c r="B119" s="25" t="s">
        <v>135</v>
      </c>
      <c r="C119" s="4" t="s">
        <v>437</v>
      </c>
      <c r="D119" s="5">
        <v>177277631</v>
      </c>
      <c r="E119" s="6" t="s">
        <v>321</v>
      </c>
      <c r="F119" s="7">
        <v>39748</v>
      </c>
      <c r="G119" s="7"/>
      <c r="H119" s="6" t="s">
        <v>7</v>
      </c>
      <c r="I119" s="6" t="s">
        <v>316</v>
      </c>
      <c r="J119" s="6">
        <v>557</v>
      </c>
      <c r="K119" s="6">
        <v>1281</v>
      </c>
      <c r="L119" s="8">
        <f t="shared" si="3"/>
        <v>21.625680087051144</v>
      </c>
      <c r="M119" s="6">
        <f>_xlfn.XLOOKUP(B119,'[3]Station Summary'!$A:$A,'[3]Station Summary'!$E:$E,0)</f>
        <v>47141</v>
      </c>
      <c r="N119" s="6">
        <f t="shared" si="4"/>
        <v>1414.23</v>
      </c>
      <c r="O119" s="24">
        <f t="shared" si="5"/>
        <v>0.3030467899891186</v>
      </c>
    </row>
    <row r="120" spans="2:15" x14ac:dyDescent="0.35">
      <c r="B120" s="25" t="s">
        <v>136</v>
      </c>
      <c r="C120" s="4" t="s">
        <v>438</v>
      </c>
      <c r="D120" s="5">
        <v>177317191</v>
      </c>
      <c r="E120" s="6" t="s">
        <v>315</v>
      </c>
      <c r="F120" s="7">
        <v>232941</v>
      </c>
      <c r="G120" s="7"/>
      <c r="H120" s="6" t="s">
        <v>7</v>
      </c>
      <c r="I120" s="6" t="s">
        <v>316</v>
      </c>
      <c r="J120" s="6">
        <v>3887</v>
      </c>
      <c r="K120" s="6">
        <v>7130</v>
      </c>
      <c r="L120" s="8">
        <f t="shared" si="3"/>
        <v>21.143777797948626</v>
      </c>
      <c r="M120" s="6">
        <f>_xlfn.XLOOKUP(B120,'[3]Station Summary'!$A:$A,'[3]Station Summary'!$E:$E,0)</f>
        <v>288558</v>
      </c>
      <c r="N120" s="6">
        <f t="shared" si="4"/>
        <v>8656.74</v>
      </c>
      <c r="O120" s="24">
        <f t="shared" si="5"/>
        <v>0.35281837160751567</v>
      </c>
    </row>
    <row r="121" spans="2:15" x14ac:dyDescent="0.35">
      <c r="B121" s="25" t="s">
        <v>137</v>
      </c>
      <c r="C121" s="4" t="s">
        <v>439</v>
      </c>
      <c r="D121" s="5">
        <v>177108115</v>
      </c>
      <c r="E121" s="6" t="s">
        <v>315</v>
      </c>
      <c r="F121" s="7">
        <v>85170</v>
      </c>
      <c r="G121" s="7"/>
      <c r="H121" s="6" t="s">
        <v>7</v>
      </c>
      <c r="I121" s="6" t="s">
        <v>316</v>
      </c>
      <c r="J121" s="6">
        <v>1223</v>
      </c>
      <c r="K121" s="6">
        <v>2727</v>
      </c>
      <c r="L121" s="8">
        <f t="shared" si="3"/>
        <v>21.562025316455696</v>
      </c>
      <c r="M121" s="6">
        <f>_xlfn.XLOOKUP(B121,'[3]Station Summary'!$A:$A,'[3]Station Summary'!$E:$E,0)</f>
        <v>91121</v>
      </c>
      <c r="N121" s="6">
        <f t="shared" si="4"/>
        <v>2733.63</v>
      </c>
      <c r="O121" s="24">
        <f t="shared" si="5"/>
        <v>0.30962025316455694</v>
      </c>
    </row>
    <row r="122" spans="2:15" x14ac:dyDescent="0.35">
      <c r="B122" s="25" t="s">
        <v>138</v>
      </c>
      <c r="C122" s="4" t="s">
        <v>440</v>
      </c>
      <c r="D122" s="5">
        <v>177174986</v>
      </c>
      <c r="E122" s="6" t="s">
        <v>315</v>
      </c>
      <c r="F122" s="7">
        <v>4228</v>
      </c>
      <c r="G122" s="7"/>
      <c r="H122" s="6" t="s">
        <v>7</v>
      </c>
      <c r="I122" s="6" t="s">
        <v>316</v>
      </c>
      <c r="J122" s="6">
        <v>129</v>
      </c>
      <c r="K122" s="6">
        <v>94</v>
      </c>
      <c r="L122" s="8">
        <f t="shared" si="3"/>
        <v>18.95964125560538</v>
      </c>
      <c r="M122" s="6">
        <f>_xlfn.XLOOKUP(B122,'[3]Station Summary'!$A:$A,'[3]Station Summary'!$E:$E,0)</f>
        <v>10395</v>
      </c>
      <c r="N122" s="6">
        <f t="shared" si="4"/>
        <v>311.84999999999997</v>
      </c>
      <c r="O122" s="24">
        <f t="shared" si="5"/>
        <v>0.57847533632286996</v>
      </c>
    </row>
    <row r="123" spans="2:15" x14ac:dyDescent="0.35">
      <c r="B123" s="25" t="s">
        <v>139</v>
      </c>
      <c r="C123" s="4" t="s">
        <v>441</v>
      </c>
      <c r="D123" s="5">
        <v>175565001</v>
      </c>
      <c r="E123" s="6" t="s">
        <v>315</v>
      </c>
      <c r="F123" s="7">
        <v>44074</v>
      </c>
      <c r="G123" s="7"/>
      <c r="H123" s="6" t="s">
        <v>7</v>
      </c>
      <c r="I123" s="6" t="s">
        <v>316</v>
      </c>
      <c r="J123" s="6">
        <v>464</v>
      </c>
      <c r="K123" s="6">
        <v>1536</v>
      </c>
      <c r="L123" s="8">
        <f t="shared" si="3"/>
        <v>22.036999999999999</v>
      </c>
      <c r="M123" s="6">
        <f>_xlfn.XLOOKUP(B123,'[3]Station Summary'!$A:$A,'[3]Station Summary'!$E:$E,0)</f>
        <v>44291</v>
      </c>
      <c r="N123" s="6">
        <f t="shared" si="4"/>
        <v>1328.73</v>
      </c>
      <c r="O123" s="24">
        <f t="shared" si="5"/>
        <v>0.23200000000000001</v>
      </c>
    </row>
    <row r="124" spans="2:15" x14ac:dyDescent="0.35">
      <c r="B124" s="25" t="s">
        <v>140</v>
      </c>
      <c r="C124" s="4" t="s">
        <v>442</v>
      </c>
      <c r="D124" s="5">
        <v>178154710</v>
      </c>
      <c r="E124" s="6" t="s">
        <v>315</v>
      </c>
      <c r="F124" s="7">
        <v>54291</v>
      </c>
      <c r="G124" s="7"/>
      <c r="H124" s="6" t="s">
        <v>7</v>
      </c>
      <c r="I124" s="6" t="s">
        <v>316</v>
      </c>
      <c r="J124" s="6">
        <v>1035</v>
      </c>
      <c r="K124" s="6">
        <v>1584</v>
      </c>
      <c r="L124" s="8">
        <f t="shared" si="3"/>
        <v>20.72966781214204</v>
      </c>
      <c r="M124" s="6">
        <f>_xlfn.XLOOKUP(B124,'[3]Station Summary'!$A:$A,'[3]Station Summary'!$E:$E,0)</f>
        <v>127214</v>
      </c>
      <c r="N124" s="6">
        <f t="shared" si="4"/>
        <v>3816.42</v>
      </c>
      <c r="O124" s="24">
        <f t="shared" si="5"/>
        <v>0.3951890034364261</v>
      </c>
    </row>
    <row r="125" spans="2:15" x14ac:dyDescent="0.35">
      <c r="B125" s="25" t="s">
        <v>141</v>
      </c>
      <c r="C125" s="4" t="s">
        <v>443</v>
      </c>
      <c r="D125" s="5">
        <v>188143752</v>
      </c>
      <c r="E125" s="6" t="s">
        <v>315</v>
      </c>
      <c r="F125" s="7">
        <v>75306</v>
      </c>
      <c r="G125" s="7"/>
      <c r="H125" s="6" t="s">
        <v>7</v>
      </c>
      <c r="I125" s="6" t="s">
        <v>316</v>
      </c>
      <c r="J125" s="6">
        <v>900</v>
      </c>
      <c r="K125" s="6">
        <v>2542</v>
      </c>
      <c r="L125" s="8">
        <f t="shared" si="3"/>
        <v>21.878558977338756</v>
      </c>
      <c r="M125" s="6">
        <f>_xlfn.XLOOKUP(B125,'[3]Station Summary'!$A:$A,'[3]Station Summary'!$E:$E,0)</f>
        <v>96502</v>
      </c>
      <c r="N125" s="6">
        <f t="shared" si="4"/>
        <v>2895.06</v>
      </c>
      <c r="O125" s="24">
        <f t="shared" si="5"/>
        <v>0.26147588611272515</v>
      </c>
    </row>
    <row r="126" spans="2:15" x14ac:dyDescent="0.35">
      <c r="B126" s="25" t="s">
        <v>142</v>
      </c>
      <c r="C126" s="4" t="s">
        <v>444</v>
      </c>
      <c r="D126" s="5">
        <v>167039351</v>
      </c>
      <c r="E126" s="6" t="s">
        <v>315</v>
      </c>
      <c r="F126" s="7">
        <v>58396</v>
      </c>
      <c r="G126" s="7"/>
      <c r="H126" s="6" t="s">
        <v>5</v>
      </c>
      <c r="I126" s="6" t="s">
        <v>316</v>
      </c>
      <c r="J126" s="6">
        <v>782</v>
      </c>
      <c r="K126" s="6">
        <v>1904</v>
      </c>
      <c r="L126" s="8">
        <f t="shared" si="3"/>
        <v>21.740878629932986</v>
      </c>
      <c r="M126" s="6">
        <f>_xlfn.XLOOKUP(B126,'[3]Station Summary'!$A:$A,'[3]Station Summary'!$E:$E,0)</f>
        <v>58520</v>
      </c>
      <c r="N126" s="6">
        <f t="shared" si="4"/>
        <v>1755.6</v>
      </c>
      <c r="O126" s="24">
        <f t="shared" si="5"/>
        <v>0.29113924050632911</v>
      </c>
    </row>
    <row r="127" spans="2:15" x14ac:dyDescent="0.35">
      <c r="B127" s="25" t="s">
        <v>143</v>
      </c>
      <c r="C127" s="4" t="s">
        <v>445</v>
      </c>
      <c r="D127" s="5">
        <v>177995909</v>
      </c>
      <c r="E127" s="6" t="s">
        <v>321</v>
      </c>
      <c r="F127" s="7">
        <v>34661</v>
      </c>
      <c r="G127" s="7"/>
      <c r="H127" s="6" t="s">
        <v>7</v>
      </c>
      <c r="I127" s="6" t="s">
        <v>316</v>
      </c>
      <c r="J127" s="6">
        <v>225</v>
      </c>
      <c r="K127" s="6">
        <v>1275</v>
      </c>
      <c r="L127" s="8">
        <f t="shared" si="3"/>
        <v>23.107333333333333</v>
      </c>
      <c r="M127" s="6">
        <f>_xlfn.XLOOKUP(B127,'[3]Station Summary'!$A:$A,'[3]Station Summary'!$E:$E,0)</f>
        <v>36756</v>
      </c>
      <c r="N127" s="6">
        <f t="shared" si="4"/>
        <v>1102.68</v>
      </c>
      <c r="O127" s="24">
        <f t="shared" si="5"/>
        <v>0.15</v>
      </c>
    </row>
    <row r="128" spans="2:15" x14ac:dyDescent="0.35">
      <c r="B128" s="23" t="s">
        <v>144</v>
      </c>
      <c r="C128" s="4">
        <v>92800588003</v>
      </c>
      <c r="D128" s="5" t="s">
        <v>145</v>
      </c>
      <c r="E128" s="6" t="s">
        <v>315</v>
      </c>
      <c r="F128" s="9">
        <v>8144</v>
      </c>
      <c r="G128" s="9"/>
      <c r="H128" s="6" t="s">
        <v>7</v>
      </c>
      <c r="I128" s="6" t="s">
        <v>359</v>
      </c>
      <c r="J128" s="6"/>
      <c r="K128" s="6">
        <v>406</v>
      </c>
      <c r="L128" s="8">
        <f t="shared" si="3"/>
        <v>20.059113300492612</v>
      </c>
      <c r="M128" s="6">
        <f>_xlfn.XLOOKUP(B128,'[3]Station Summary'!$A:$A,'[3]Station Summary'!$E:$E,0)</f>
        <v>10386</v>
      </c>
      <c r="N128" s="6">
        <f t="shared" si="4"/>
        <v>311.58</v>
      </c>
      <c r="O128" s="24">
        <f t="shared" si="5"/>
        <v>0</v>
      </c>
    </row>
    <row r="129" spans="2:15" x14ac:dyDescent="0.35">
      <c r="B129" s="25" t="s">
        <v>146</v>
      </c>
      <c r="C129" s="4" t="s">
        <v>446</v>
      </c>
      <c r="D129" s="5">
        <v>175847995</v>
      </c>
      <c r="E129" s="6" t="s">
        <v>321</v>
      </c>
      <c r="F129" s="7">
        <v>362064</v>
      </c>
      <c r="G129" s="7"/>
      <c r="H129" s="6" t="s">
        <v>7</v>
      </c>
      <c r="I129" s="6" t="s">
        <v>316</v>
      </c>
      <c r="J129" s="6">
        <v>7034</v>
      </c>
      <c r="K129" s="6">
        <v>10481</v>
      </c>
      <c r="L129" s="8">
        <f t="shared" si="3"/>
        <v>20.671652868969456</v>
      </c>
      <c r="M129" s="6">
        <f>_xlfn.XLOOKUP(B129,'[3]Station Summary'!$A:$A,'[3]Station Summary'!$E:$E,0)</f>
        <v>439287</v>
      </c>
      <c r="N129" s="6">
        <f t="shared" si="4"/>
        <v>13178.609999999999</v>
      </c>
      <c r="O129" s="24">
        <f t="shared" si="5"/>
        <v>0.40159862974593208</v>
      </c>
    </row>
    <row r="130" spans="2:15" x14ac:dyDescent="0.35">
      <c r="B130" s="25" t="s">
        <v>147</v>
      </c>
      <c r="C130" s="4" t="s">
        <v>447</v>
      </c>
      <c r="D130" s="5">
        <v>176869568</v>
      </c>
      <c r="E130" s="6" t="s">
        <v>315</v>
      </c>
      <c r="F130" s="7">
        <v>8093</v>
      </c>
      <c r="G130" s="7">
        <v>31883</v>
      </c>
      <c r="H130" s="6" t="s">
        <v>7</v>
      </c>
      <c r="I130" s="6" t="s">
        <v>316</v>
      </c>
      <c r="J130" s="6">
        <v>550</v>
      </c>
      <c r="K130" s="6">
        <v>965</v>
      </c>
      <c r="L130" s="8">
        <f t="shared" si="3"/>
        <v>21.044884488448844</v>
      </c>
      <c r="M130" s="6">
        <f>_xlfn.XLOOKUP(B130,'[3]Station Summary'!$A:$A,'[3]Station Summary'!$E:$E,0)</f>
        <v>36564</v>
      </c>
      <c r="N130" s="6">
        <f t="shared" si="4"/>
        <v>1096.92</v>
      </c>
      <c r="O130" s="24">
        <f t="shared" si="5"/>
        <v>0.36303630363036304</v>
      </c>
    </row>
    <row r="131" spans="2:15" x14ac:dyDescent="0.35">
      <c r="B131" s="25" t="s">
        <v>148</v>
      </c>
      <c r="C131" s="4" t="s">
        <v>448</v>
      </c>
      <c r="D131" s="5">
        <v>195322254</v>
      </c>
      <c r="E131" s="6" t="s">
        <v>315</v>
      </c>
      <c r="F131" s="7">
        <v>23275</v>
      </c>
      <c r="G131" s="7">
        <v>123045</v>
      </c>
      <c r="H131" s="6" t="s">
        <v>7</v>
      </c>
      <c r="I131" s="6" t="s">
        <v>316</v>
      </c>
      <c r="J131" s="6">
        <v>2047</v>
      </c>
      <c r="K131" s="6">
        <v>3770</v>
      </c>
      <c r="L131" s="8">
        <f t="shared" si="3"/>
        <v>21.152656008251675</v>
      </c>
      <c r="M131" s="6">
        <f>_xlfn.XLOOKUP(B131,'[3]Station Summary'!$A:$A,'[3]Station Summary'!$E:$E,0)</f>
        <v>157164</v>
      </c>
      <c r="N131" s="6">
        <f t="shared" si="4"/>
        <v>4714.92</v>
      </c>
      <c r="O131" s="24">
        <f t="shared" si="5"/>
        <v>0.35189960460718583</v>
      </c>
    </row>
    <row r="132" spans="2:15" x14ac:dyDescent="0.35">
      <c r="B132" s="23" t="s">
        <v>149</v>
      </c>
      <c r="C132" s="4">
        <v>92802514072</v>
      </c>
      <c r="D132" s="5">
        <v>177363916</v>
      </c>
      <c r="E132" s="6" t="s">
        <v>315</v>
      </c>
      <c r="F132" s="9">
        <v>29071</v>
      </c>
      <c r="G132" s="9"/>
      <c r="H132" s="6" t="s">
        <v>7</v>
      </c>
      <c r="I132" s="6" t="s">
        <v>316</v>
      </c>
      <c r="J132" s="6">
        <v>399</v>
      </c>
      <c r="K132" s="6">
        <v>942</v>
      </c>
      <c r="L132" s="8">
        <f t="shared" ref="L132:L169" si="6">IFERROR(IF(G132="",F132/(J132+K132),G132/(J132+K132)),"Change")</f>
        <v>21.678598061148396</v>
      </c>
      <c r="M132" s="6">
        <f>_xlfn.XLOOKUP(B132,'[3]Station Summary'!$A:$A,'[3]Station Summary'!$E:$E,0)</f>
        <v>40005</v>
      </c>
      <c r="N132" s="6">
        <f t="shared" ref="N132:N169" si="7">M132*0.03</f>
        <v>1200.1499999999999</v>
      </c>
      <c r="O132" s="24">
        <f t="shared" ref="O132:O169" si="8">IFERROR(J132/(J132+K132),0)</f>
        <v>0.29753914988814317</v>
      </c>
    </row>
    <row r="133" spans="2:15" x14ac:dyDescent="0.35">
      <c r="B133" s="25" t="s">
        <v>150</v>
      </c>
      <c r="C133" s="4" t="s">
        <v>449</v>
      </c>
      <c r="D133" s="5">
        <v>170999387</v>
      </c>
      <c r="E133" s="6" t="s">
        <v>315</v>
      </c>
      <c r="F133" s="7">
        <v>127287</v>
      </c>
      <c r="G133" s="7"/>
      <c r="H133" s="6" t="s">
        <v>5</v>
      </c>
      <c r="I133" s="6" t="s">
        <v>316</v>
      </c>
      <c r="J133" s="6">
        <v>1687</v>
      </c>
      <c r="K133" s="6">
        <v>4233</v>
      </c>
      <c r="L133" s="8">
        <f t="shared" si="6"/>
        <v>21.501182432432433</v>
      </c>
      <c r="M133" s="6">
        <f>_xlfn.XLOOKUP(B133,'[3]Station Summary'!$A:$A,'[3]Station Summary'!$E:$E,0)</f>
        <v>146456</v>
      </c>
      <c r="N133" s="6">
        <f t="shared" si="7"/>
        <v>4393.68</v>
      </c>
      <c r="O133" s="24">
        <f t="shared" si="8"/>
        <v>0.28496621621621621</v>
      </c>
    </row>
    <row r="134" spans="2:15" x14ac:dyDescent="0.35">
      <c r="B134" s="25" t="s">
        <v>151</v>
      </c>
      <c r="C134" s="4" t="s">
        <v>450</v>
      </c>
      <c r="D134" s="5">
        <v>177449814</v>
      </c>
      <c r="E134" s="6" t="s">
        <v>451</v>
      </c>
      <c r="F134" s="7">
        <v>25</v>
      </c>
      <c r="G134" s="7"/>
      <c r="H134" s="6" t="s">
        <v>152</v>
      </c>
      <c r="I134" s="6" t="s">
        <v>390</v>
      </c>
      <c r="J134" s="6"/>
      <c r="K134" s="6">
        <v>1</v>
      </c>
      <c r="L134" s="8">
        <f t="shared" si="6"/>
        <v>25</v>
      </c>
      <c r="M134" s="6">
        <f>_xlfn.XLOOKUP(B134,'[3]Station Summary'!$A:$A,'[3]Station Summary'!$E:$E,0)</f>
        <v>133</v>
      </c>
      <c r="N134" s="6">
        <f t="shared" si="7"/>
        <v>3.9899999999999998</v>
      </c>
      <c r="O134" s="24">
        <f t="shared" si="8"/>
        <v>0</v>
      </c>
    </row>
    <row r="135" spans="2:15" x14ac:dyDescent="0.35">
      <c r="B135" s="23" t="s">
        <v>153</v>
      </c>
      <c r="C135" s="4">
        <v>92800460575</v>
      </c>
      <c r="D135" s="5">
        <v>177526472</v>
      </c>
      <c r="E135" s="6" t="s">
        <v>315</v>
      </c>
      <c r="F135" s="9">
        <v>41380</v>
      </c>
      <c r="G135" s="9"/>
      <c r="H135" s="6" t="s">
        <v>7</v>
      </c>
      <c r="I135" s="6" t="s">
        <v>316</v>
      </c>
      <c r="J135" s="6">
        <v>533</v>
      </c>
      <c r="K135" s="6">
        <v>1362</v>
      </c>
      <c r="L135" s="8">
        <f t="shared" si="6"/>
        <v>21.836411609498679</v>
      </c>
      <c r="M135" s="6">
        <f>_xlfn.XLOOKUP(B135,'[3]Station Summary'!$A:$A,'[3]Station Summary'!$E:$E,0)</f>
        <v>53208</v>
      </c>
      <c r="N135" s="6">
        <f t="shared" si="7"/>
        <v>1596.24</v>
      </c>
      <c r="O135" s="24">
        <f t="shared" si="8"/>
        <v>0.28126649076517152</v>
      </c>
    </row>
    <row r="136" spans="2:15" x14ac:dyDescent="0.35">
      <c r="B136" s="25" t="s">
        <v>154</v>
      </c>
      <c r="C136" s="4" t="s">
        <v>452</v>
      </c>
      <c r="D136" s="5">
        <v>177176835</v>
      </c>
      <c r="E136" s="6" t="s">
        <v>315</v>
      </c>
      <c r="F136" s="7">
        <v>14099</v>
      </c>
      <c r="G136" s="7"/>
      <c r="H136" s="6" t="s">
        <v>7</v>
      </c>
      <c r="I136" s="6" t="s">
        <v>316</v>
      </c>
      <c r="J136" s="6">
        <v>149</v>
      </c>
      <c r="K136" s="6">
        <v>491</v>
      </c>
      <c r="L136" s="8">
        <f t="shared" si="6"/>
        <v>22.029687500000001</v>
      </c>
      <c r="M136" s="6">
        <f>_xlfn.XLOOKUP(B136,'[3]Station Summary'!$A:$A,'[3]Station Summary'!$E:$E,0)</f>
        <v>16828</v>
      </c>
      <c r="N136" s="6">
        <f t="shared" si="7"/>
        <v>504.84</v>
      </c>
      <c r="O136" s="24">
        <f t="shared" si="8"/>
        <v>0.23281250000000001</v>
      </c>
    </row>
    <row r="137" spans="2:15" x14ac:dyDescent="0.35">
      <c r="B137" s="25" t="s">
        <v>155</v>
      </c>
      <c r="C137" s="4" t="s">
        <v>453</v>
      </c>
      <c r="D137" s="5">
        <v>175565282</v>
      </c>
      <c r="E137" s="6" t="s">
        <v>315</v>
      </c>
      <c r="F137" s="7">
        <v>21742</v>
      </c>
      <c r="G137" s="7"/>
      <c r="H137" s="6" t="s">
        <v>7</v>
      </c>
      <c r="I137" s="6" t="s">
        <v>332</v>
      </c>
      <c r="J137" s="6"/>
      <c r="K137" s="6">
        <v>803</v>
      </c>
      <c r="L137" s="8">
        <f t="shared" si="6"/>
        <v>27.075965130759652</v>
      </c>
      <c r="M137" s="6">
        <f>_xlfn.XLOOKUP(B137,'[3]Station Summary'!$A:$A,'[3]Station Summary'!$E:$E,0)</f>
        <v>21427</v>
      </c>
      <c r="N137" s="6">
        <f t="shared" si="7"/>
        <v>642.80999999999995</v>
      </c>
      <c r="O137" s="24">
        <f t="shared" si="8"/>
        <v>0</v>
      </c>
    </row>
    <row r="138" spans="2:15" x14ac:dyDescent="0.35">
      <c r="B138" s="25" t="s">
        <v>156</v>
      </c>
      <c r="C138" s="4" t="s">
        <v>454</v>
      </c>
      <c r="D138" s="5">
        <v>174007825</v>
      </c>
      <c r="E138" s="6" t="s">
        <v>315</v>
      </c>
      <c r="F138" s="7">
        <v>9834</v>
      </c>
      <c r="G138" s="7"/>
      <c r="H138" s="6" t="s">
        <v>7</v>
      </c>
      <c r="I138" s="6" t="s">
        <v>316</v>
      </c>
      <c r="J138" s="6">
        <v>108</v>
      </c>
      <c r="K138" s="6">
        <v>335</v>
      </c>
      <c r="L138" s="8">
        <f t="shared" si="6"/>
        <v>22.19864559819413</v>
      </c>
      <c r="M138" s="6">
        <f>_xlfn.XLOOKUP(B138,'[3]Station Summary'!$A:$A,'[3]Station Summary'!$E:$E,0)</f>
        <v>9839</v>
      </c>
      <c r="N138" s="6">
        <f t="shared" si="7"/>
        <v>295.17</v>
      </c>
      <c r="O138" s="24">
        <f t="shared" si="8"/>
        <v>0.24379232505643342</v>
      </c>
    </row>
    <row r="139" spans="2:15" x14ac:dyDescent="0.35">
      <c r="B139" s="25" t="s">
        <v>157</v>
      </c>
      <c r="C139" s="4" t="s">
        <v>455</v>
      </c>
      <c r="D139" s="5">
        <v>193493396</v>
      </c>
      <c r="E139" s="6" t="s">
        <v>315</v>
      </c>
      <c r="F139" s="7">
        <v>41790</v>
      </c>
      <c r="G139" s="7"/>
      <c r="H139" s="6" t="s">
        <v>7</v>
      </c>
      <c r="I139" s="6" t="s">
        <v>316</v>
      </c>
      <c r="J139" s="6">
        <v>620</v>
      </c>
      <c r="K139" s="6">
        <v>1326</v>
      </c>
      <c r="L139" s="8">
        <f t="shared" si="6"/>
        <v>21.474820143884891</v>
      </c>
      <c r="M139" s="6">
        <f>_xlfn.XLOOKUP(B139,'[3]Station Summary'!$A:$A,'[3]Station Summary'!$E:$E,0)</f>
        <v>46354</v>
      </c>
      <c r="N139" s="6">
        <f t="shared" si="7"/>
        <v>1390.62</v>
      </c>
      <c r="O139" s="24">
        <f t="shared" si="8"/>
        <v>0.31860226104830419</v>
      </c>
    </row>
    <row r="140" spans="2:15" x14ac:dyDescent="0.35">
      <c r="B140" s="25" t="s">
        <v>158</v>
      </c>
      <c r="C140" s="4" t="s">
        <v>456</v>
      </c>
      <c r="D140" s="5">
        <v>143227353</v>
      </c>
      <c r="E140" s="6" t="s">
        <v>315</v>
      </c>
      <c r="F140" s="7">
        <v>85018</v>
      </c>
      <c r="G140" s="7"/>
      <c r="H140" s="6" t="s">
        <v>5</v>
      </c>
      <c r="I140" s="6" t="s">
        <v>346</v>
      </c>
      <c r="J140" s="6">
        <v>1354</v>
      </c>
      <c r="K140" s="6">
        <v>1662</v>
      </c>
      <c r="L140" s="8">
        <f t="shared" si="6"/>
        <v>28.188992042440319</v>
      </c>
      <c r="M140" s="6">
        <f>_xlfn.XLOOKUP(B140,'[3]Station Summary'!$A:$A,'[3]Station Summary'!$E:$E,0)</f>
        <v>27127</v>
      </c>
      <c r="N140" s="6">
        <f t="shared" si="7"/>
        <v>813.81</v>
      </c>
      <c r="O140" s="24">
        <f t="shared" si="8"/>
        <v>0.44893899204244031</v>
      </c>
    </row>
    <row r="141" spans="2:15" x14ac:dyDescent="0.35">
      <c r="B141" s="25" t="s">
        <v>159</v>
      </c>
      <c r="C141" s="4" t="s">
        <v>457</v>
      </c>
      <c r="D141" s="5">
        <v>192684021</v>
      </c>
      <c r="E141" s="6" t="s">
        <v>315</v>
      </c>
      <c r="F141" s="7">
        <v>25132</v>
      </c>
      <c r="G141" s="7"/>
      <c r="H141" s="6" t="s">
        <v>7</v>
      </c>
      <c r="I141" s="6" t="s">
        <v>316</v>
      </c>
      <c r="J141" s="6">
        <v>329</v>
      </c>
      <c r="K141" s="6">
        <v>824</v>
      </c>
      <c r="L141" s="8">
        <f t="shared" si="6"/>
        <v>21.79705117085863</v>
      </c>
      <c r="M141" s="6">
        <f>_xlfn.XLOOKUP(B141,'[3]Station Summary'!$A:$A,'[3]Station Summary'!$E:$E,0)</f>
        <v>26588</v>
      </c>
      <c r="N141" s="6">
        <f t="shared" si="7"/>
        <v>797.64</v>
      </c>
      <c r="O141" s="24">
        <f t="shared" si="8"/>
        <v>0.28534258456201217</v>
      </c>
    </row>
    <row r="142" spans="2:15" x14ac:dyDescent="0.35">
      <c r="B142" s="25" t="s">
        <v>160</v>
      </c>
      <c r="C142" s="4" t="s">
        <v>458</v>
      </c>
      <c r="D142" s="5">
        <v>177561263</v>
      </c>
      <c r="E142" s="6" t="s">
        <v>315</v>
      </c>
      <c r="F142" s="7">
        <v>9165</v>
      </c>
      <c r="G142" s="7"/>
      <c r="H142" s="6" t="s">
        <v>7</v>
      </c>
      <c r="I142" s="6" t="s">
        <v>316</v>
      </c>
      <c r="J142" s="6">
        <v>101</v>
      </c>
      <c r="K142" s="6">
        <v>312</v>
      </c>
      <c r="L142" s="8">
        <f t="shared" si="6"/>
        <v>22.191283292978209</v>
      </c>
      <c r="M142" s="6">
        <f>_xlfn.XLOOKUP(B142,'[3]Station Summary'!$A:$A,'[3]Station Summary'!$E:$E,0)</f>
        <v>9123</v>
      </c>
      <c r="N142" s="6">
        <f t="shared" si="7"/>
        <v>273.69</v>
      </c>
      <c r="O142" s="24">
        <f t="shared" si="8"/>
        <v>0.24455205811138014</v>
      </c>
    </row>
    <row r="143" spans="2:15" x14ac:dyDescent="0.35">
      <c r="B143" s="25" t="s">
        <v>161</v>
      </c>
      <c r="C143" s="4" t="s">
        <v>459</v>
      </c>
      <c r="D143" s="5">
        <v>171359340</v>
      </c>
      <c r="E143" s="6" t="s">
        <v>315</v>
      </c>
      <c r="F143" s="7">
        <v>42263</v>
      </c>
      <c r="G143" s="7"/>
      <c r="H143" s="6" t="s">
        <v>162</v>
      </c>
      <c r="I143" s="6" t="s">
        <v>316</v>
      </c>
      <c r="J143" s="6">
        <v>627</v>
      </c>
      <c r="K143" s="6">
        <v>1341</v>
      </c>
      <c r="L143" s="8">
        <f t="shared" si="6"/>
        <v>21.475101626016261</v>
      </c>
      <c r="M143" s="6">
        <f>_xlfn.XLOOKUP(B143,'[3]Station Summary'!$A:$A,'[3]Station Summary'!$E:$E,0)</f>
        <v>46053</v>
      </c>
      <c r="N143" s="6">
        <f t="shared" si="7"/>
        <v>1381.59</v>
      </c>
      <c r="O143" s="24">
        <f t="shared" si="8"/>
        <v>0.31859756097560976</v>
      </c>
    </row>
    <row r="144" spans="2:15" x14ac:dyDescent="0.35">
      <c r="B144" s="23" t="s">
        <v>163</v>
      </c>
      <c r="C144" s="4"/>
      <c r="D144" s="5">
        <v>192693099</v>
      </c>
      <c r="E144" s="6" t="s">
        <v>460</v>
      </c>
      <c r="F144" s="9">
        <v>154530</v>
      </c>
      <c r="G144" s="9"/>
      <c r="H144" s="6" t="s">
        <v>7</v>
      </c>
      <c r="I144" s="6" t="s">
        <v>316</v>
      </c>
      <c r="J144" s="6">
        <v>1400</v>
      </c>
      <c r="K144" s="6">
        <v>5444</v>
      </c>
      <c r="L144" s="8">
        <f t="shared" si="6"/>
        <v>22.578901227352425</v>
      </c>
      <c r="M144" s="6">
        <f>_xlfn.XLOOKUP(B144,'[3]Station Summary'!$A:$A,'[3]Station Summary'!$E:$E,0)</f>
        <v>43064</v>
      </c>
      <c r="N144" s="6">
        <f t="shared" si="7"/>
        <v>1291.9199999999998</v>
      </c>
      <c r="O144" s="24">
        <f t="shared" si="8"/>
        <v>0.20455873758036236</v>
      </c>
    </row>
    <row r="145" spans="2:15" x14ac:dyDescent="0.35">
      <c r="B145" s="25" t="s">
        <v>164</v>
      </c>
      <c r="C145" s="4" t="s">
        <v>461</v>
      </c>
      <c r="D145" s="5">
        <v>191713603</v>
      </c>
      <c r="E145" s="6" t="s">
        <v>315</v>
      </c>
      <c r="F145" s="7">
        <v>17044</v>
      </c>
      <c r="G145" s="7"/>
      <c r="H145" s="6" t="s">
        <v>7</v>
      </c>
      <c r="I145" s="6" t="s">
        <v>332</v>
      </c>
      <c r="J145" s="6"/>
      <c r="K145" s="6">
        <v>616</v>
      </c>
      <c r="L145" s="8">
        <f t="shared" si="6"/>
        <v>27.668831168831169</v>
      </c>
      <c r="M145" s="6">
        <f>_xlfn.XLOOKUP(B145,'[3]Station Summary'!$A:$A,'[3]Station Summary'!$E:$E,0)</f>
        <v>15825</v>
      </c>
      <c r="N145" s="6">
        <f t="shared" si="7"/>
        <v>474.75</v>
      </c>
      <c r="O145" s="24">
        <f t="shared" si="8"/>
        <v>0</v>
      </c>
    </row>
    <row r="146" spans="2:15" x14ac:dyDescent="0.35">
      <c r="B146" s="25" t="s">
        <v>165</v>
      </c>
      <c r="C146" s="4" t="s">
        <v>462</v>
      </c>
      <c r="D146" s="5">
        <v>177856564</v>
      </c>
      <c r="E146" s="6" t="s">
        <v>315</v>
      </c>
      <c r="F146" s="7">
        <v>241696</v>
      </c>
      <c r="G146" s="7"/>
      <c r="H146" s="6" t="s">
        <v>7</v>
      </c>
      <c r="I146" s="6" t="s">
        <v>316</v>
      </c>
      <c r="J146" s="6">
        <v>6690</v>
      </c>
      <c r="K146" s="6">
        <v>5873</v>
      </c>
      <c r="L146" s="8">
        <f t="shared" si="6"/>
        <v>19.238716866990369</v>
      </c>
      <c r="M146" s="6">
        <f>_xlfn.XLOOKUP(B146,'[3]Station Summary'!$A:$A,'[3]Station Summary'!$E:$E,0)</f>
        <v>171344</v>
      </c>
      <c r="N146" s="6">
        <f t="shared" si="7"/>
        <v>5140.32</v>
      </c>
      <c r="O146" s="24">
        <f t="shared" si="8"/>
        <v>0.53251611876144234</v>
      </c>
    </row>
    <row r="147" spans="2:15" x14ac:dyDescent="0.35">
      <c r="B147" s="25" t="s">
        <v>166</v>
      </c>
      <c r="C147" s="4" t="s">
        <v>463</v>
      </c>
      <c r="D147" s="5">
        <v>178360341</v>
      </c>
      <c r="E147" s="6" t="s">
        <v>315</v>
      </c>
      <c r="F147" s="7">
        <v>40117</v>
      </c>
      <c r="G147" s="7"/>
      <c r="H147" s="6" t="s">
        <v>7</v>
      </c>
      <c r="I147" s="6" t="s">
        <v>316</v>
      </c>
      <c r="J147" s="6">
        <v>491</v>
      </c>
      <c r="K147" s="6">
        <v>1336</v>
      </c>
      <c r="L147" s="8">
        <f t="shared" si="6"/>
        <v>21.957854406130267</v>
      </c>
      <c r="M147" s="6">
        <f>_xlfn.XLOOKUP(B147,'[3]Station Summary'!$A:$A,'[3]Station Summary'!$E:$E,0)</f>
        <v>51240</v>
      </c>
      <c r="N147" s="6">
        <f t="shared" si="7"/>
        <v>1537.2</v>
      </c>
      <c r="O147" s="24">
        <f t="shared" si="8"/>
        <v>0.2687465790914067</v>
      </c>
    </row>
    <row r="148" spans="2:15" x14ac:dyDescent="0.35">
      <c r="B148" s="25" t="s">
        <v>167</v>
      </c>
      <c r="C148" s="4" t="s">
        <v>464</v>
      </c>
      <c r="D148" s="5">
        <v>177203302</v>
      </c>
      <c r="E148" s="6" t="s">
        <v>315</v>
      </c>
      <c r="F148" s="7">
        <v>48634</v>
      </c>
      <c r="G148" s="7"/>
      <c r="H148" s="6" t="s">
        <v>7</v>
      </c>
      <c r="I148" s="6" t="s">
        <v>316</v>
      </c>
      <c r="J148" s="6">
        <v>727</v>
      </c>
      <c r="K148" s="6">
        <v>1565</v>
      </c>
      <c r="L148" s="8">
        <f t="shared" si="6"/>
        <v>21.219022687609076</v>
      </c>
      <c r="M148" s="6">
        <f>_xlfn.XLOOKUP(B148,'[3]Station Summary'!$A:$A,'[3]Station Summary'!$E:$E,0)</f>
        <v>58727</v>
      </c>
      <c r="N148" s="6">
        <f t="shared" si="7"/>
        <v>1761.81</v>
      </c>
      <c r="O148" s="24">
        <f t="shared" si="8"/>
        <v>0.31719022687609078</v>
      </c>
    </row>
    <row r="149" spans="2:15" x14ac:dyDescent="0.35">
      <c r="B149" s="25" t="s">
        <v>168</v>
      </c>
      <c r="C149" s="4" t="s">
        <v>465</v>
      </c>
      <c r="D149" s="5">
        <v>175557749</v>
      </c>
      <c r="E149" s="6" t="s">
        <v>315</v>
      </c>
      <c r="F149" s="7">
        <v>57480</v>
      </c>
      <c r="G149" s="7"/>
      <c r="H149" s="6" t="s">
        <v>7</v>
      </c>
      <c r="I149" s="6" t="s">
        <v>316</v>
      </c>
      <c r="J149" s="6">
        <v>616</v>
      </c>
      <c r="K149" s="6">
        <v>1998</v>
      </c>
      <c r="L149" s="8">
        <f t="shared" si="6"/>
        <v>21.989288446824791</v>
      </c>
      <c r="M149" s="6">
        <f>_xlfn.XLOOKUP(B149,'[3]Station Summary'!$A:$A,'[3]Station Summary'!$E:$E,0)</f>
        <v>66612</v>
      </c>
      <c r="N149" s="6">
        <f t="shared" si="7"/>
        <v>1998.36</v>
      </c>
      <c r="O149" s="24">
        <f t="shared" si="8"/>
        <v>0.23565416985462892</v>
      </c>
    </row>
    <row r="150" spans="2:15" x14ac:dyDescent="0.35">
      <c r="B150" s="25" t="s">
        <v>169</v>
      </c>
      <c r="C150" s="4" t="s">
        <v>466</v>
      </c>
      <c r="D150" s="5">
        <v>127647515</v>
      </c>
      <c r="E150" s="6" t="s">
        <v>315</v>
      </c>
      <c r="F150" s="7">
        <v>155093</v>
      </c>
      <c r="G150" s="7"/>
      <c r="H150" s="6" t="s">
        <v>5</v>
      </c>
      <c r="I150" s="6" t="s">
        <v>346</v>
      </c>
      <c r="J150" s="6">
        <v>1134</v>
      </c>
      <c r="K150" s="6">
        <v>4086</v>
      </c>
      <c r="L150" s="8">
        <f t="shared" si="6"/>
        <v>29.711302681992336</v>
      </c>
      <c r="M150" s="6">
        <f>_xlfn.XLOOKUP(B150,'[3]Station Summary'!$A:$A,'[3]Station Summary'!$E:$E,0)</f>
        <v>143351</v>
      </c>
      <c r="N150" s="6">
        <f t="shared" si="7"/>
        <v>4300.53</v>
      </c>
      <c r="O150" s="24">
        <f t="shared" si="8"/>
        <v>0.21724137931034482</v>
      </c>
    </row>
    <row r="151" spans="2:15" x14ac:dyDescent="0.35">
      <c r="B151" s="23" t="s">
        <v>170</v>
      </c>
      <c r="C151" s="4">
        <v>25700968016</v>
      </c>
      <c r="D151" s="5" t="s">
        <v>171</v>
      </c>
      <c r="E151" s="6" t="s">
        <v>467</v>
      </c>
      <c r="F151" s="9">
        <v>111020</v>
      </c>
      <c r="G151" s="9"/>
      <c r="H151" s="6" t="s">
        <v>5</v>
      </c>
      <c r="I151" s="6" t="s">
        <v>359</v>
      </c>
      <c r="J151" s="6"/>
      <c r="K151" s="6">
        <v>5535</v>
      </c>
      <c r="L151" s="8">
        <f t="shared" si="6"/>
        <v>20.057813911472447</v>
      </c>
      <c r="M151" s="6">
        <f>_xlfn.XLOOKUP(B151,'[3]Station Summary'!$A:$A,'[3]Station Summary'!$E:$E,0)</f>
        <v>107246</v>
      </c>
      <c r="N151" s="6">
        <f t="shared" si="7"/>
        <v>3217.3799999999997</v>
      </c>
      <c r="O151" s="24">
        <f t="shared" si="8"/>
        <v>0</v>
      </c>
    </row>
    <row r="152" spans="2:15" x14ac:dyDescent="0.35">
      <c r="B152" s="23" t="s">
        <v>172</v>
      </c>
      <c r="C152" s="4">
        <v>25700930198</v>
      </c>
      <c r="D152" s="5">
        <v>33979867</v>
      </c>
      <c r="E152" s="6" t="s">
        <v>315</v>
      </c>
      <c r="F152" s="9">
        <v>242343</v>
      </c>
      <c r="G152" s="9">
        <v>93050</v>
      </c>
      <c r="H152" s="6" t="s">
        <v>5</v>
      </c>
      <c r="I152" s="6" t="s">
        <v>332</v>
      </c>
      <c r="J152" s="6"/>
      <c r="K152" s="6">
        <v>3363</v>
      </c>
      <c r="L152" s="8">
        <f t="shared" si="6"/>
        <v>27.668748141540291</v>
      </c>
      <c r="M152" s="6">
        <f>_xlfn.XLOOKUP(B152,'[3]Station Summary'!$A:$A,'[3]Station Summary'!$E:$E,0)</f>
        <v>0</v>
      </c>
      <c r="N152" s="6">
        <f t="shared" si="7"/>
        <v>0</v>
      </c>
      <c r="O152" s="24">
        <f t="shared" si="8"/>
        <v>0</v>
      </c>
    </row>
    <row r="153" spans="2:15" x14ac:dyDescent="0.35">
      <c r="B153" s="25" t="s">
        <v>173</v>
      </c>
      <c r="C153" s="4" t="s">
        <v>468</v>
      </c>
      <c r="D153" s="5">
        <v>196854065</v>
      </c>
      <c r="E153" s="6" t="s">
        <v>315</v>
      </c>
      <c r="F153" s="7">
        <v>85550</v>
      </c>
      <c r="G153" s="7"/>
      <c r="H153" s="6" t="s">
        <v>7</v>
      </c>
      <c r="I153" s="6" t="s">
        <v>316</v>
      </c>
      <c r="J153" s="6">
        <v>1319</v>
      </c>
      <c r="K153" s="6">
        <v>2783</v>
      </c>
      <c r="L153" s="8">
        <f t="shared" si="6"/>
        <v>20.855680156021453</v>
      </c>
      <c r="M153" s="6">
        <f>_xlfn.XLOOKUP(B153,'[3]Station Summary'!$A:$A,'[3]Station Summary'!$E:$E,0)</f>
        <v>104700</v>
      </c>
      <c r="N153" s="6">
        <f t="shared" si="7"/>
        <v>3141</v>
      </c>
      <c r="O153" s="24">
        <f t="shared" si="8"/>
        <v>0.32155046318868846</v>
      </c>
    </row>
    <row r="154" spans="2:15" x14ac:dyDescent="0.35">
      <c r="B154" s="25" t="s">
        <v>174</v>
      </c>
      <c r="C154" s="4" t="s">
        <v>469</v>
      </c>
      <c r="D154" s="5">
        <v>177009006</v>
      </c>
      <c r="E154" s="6" t="s">
        <v>315</v>
      </c>
      <c r="F154" s="7">
        <v>143002</v>
      </c>
      <c r="G154" s="7"/>
      <c r="H154" s="6" t="s">
        <v>7</v>
      </c>
      <c r="I154" s="6" t="s">
        <v>316</v>
      </c>
      <c r="J154" s="6">
        <v>1807</v>
      </c>
      <c r="K154" s="6">
        <v>5390</v>
      </c>
      <c r="L154" s="8">
        <f t="shared" si="6"/>
        <v>19.869667917187716</v>
      </c>
      <c r="M154" s="6">
        <f>_xlfn.XLOOKUP(B154,'[3]Station Summary'!$A:$A,'[3]Station Summary'!$E:$E,0)</f>
        <v>198481</v>
      </c>
      <c r="N154" s="6">
        <f t="shared" si="7"/>
        <v>5954.4299999999994</v>
      </c>
      <c r="O154" s="24">
        <f t="shared" si="8"/>
        <v>0.25107683757121024</v>
      </c>
    </row>
    <row r="155" spans="2:15" x14ac:dyDescent="0.35">
      <c r="B155" s="25" t="s">
        <v>175</v>
      </c>
      <c r="C155" s="4" t="s">
        <v>470</v>
      </c>
      <c r="D155" s="5">
        <v>175557099</v>
      </c>
      <c r="E155" s="6" t="s">
        <v>315</v>
      </c>
      <c r="F155" s="7">
        <v>31987</v>
      </c>
      <c r="G155" s="7"/>
      <c r="H155" s="6" t="s">
        <v>7</v>
      </c>
      <c r="I155" s="6" t="s">
        <v>316</v>
      </c>
      <c r="J155" s="6">
        <v>511</v>
      </c>
      <c r="K155" s="6">
        <v>1024</v>
      </c>
      <c r="L155" s="8">
        <f t="shared" si="6"/>
        <v>20.838436482084692</v>
      </c>
      <c r="M155" s="6">
        <f>_xlfn.XLOOKUP(B155,'[3]Station Summary'!$A:$A,'[3]Station Summary'!$E:$E,0)</f>
        <v>36637</v>
      </c>
      <c r="N155" s="6">
        <f t="shared" si="7"/>
        <v>1099.1099999999999</v>
      </c>
      <c r="O155" s="24">
        <f t="shared" si="8"/>
        <v>0.33289902280130296</v>
      </c>
    </row>
    <row r="156" spans="2:15" x14ac:dyDescent="0.35">
      <c r="B156" s="25" t="s">
        <v>176</v>
      </c>
      <c r="C156" s="4" t="s">
        <v>471</v>
      </c>
      <c r="D156" s="5">
        <v>183524065</v>
      </c>
      <c r="E156" s="6" t="s">
        <v>315</v>
      </c>
      <c r="F156" s="7">
        <v>6991</v>
      </c>
      <c r="G156" s="7"/>
      <c r="H156" s="6" t="s">
        <v>7</v>
      </c>
      <c r="I156" s="6" t="s">
        <v>316</v>
      </c>
      <c r="J156" s="6">
        <v>36</v>
      </c>
      <c r="K156" s="6">
        <v>268</v>
      </c>
      <c r="L156" s="8">
        <f t="shared" si="6"/>
        <v>22.996710526315791</v>
      </c>
      <c r="M156" s="6">
        <f>_xlfn.XLOOKUP(B156,'[3]Station Summary'!$A:$A,'[3]Station Summary'!$E:$E,0)</f>
        <v>7288</v>
      </c>
      <c r="N156" s="6">
        <f t="shared" si="7"/>
        <v>218.64</v>
      </c>
      <c r="O156" s="24">
        <f t="shared" si="8"/>
        <v>0.11842105263157894</v>
      </c>
    </row>
    <row r="157" spans="2:15" x14ac:dyDescent="0.35">
      <c r="B157" s="25" t="s">
        <v>177</v>
      </c>
      <c r="C157" s="4" t="s">
        <v>472</v>
      </c>
      <c r="D157" s="5">
        <v>191675750</v>
      </c>
      <c r="E157" s="6" t="s">
        <v>315</v>
      </c>
      <c r="F157" s="7">
        <v>37187</v>
      </c>
      <c r="G157" s="7"/>
      <c r="H157" s="6" t="s">
        <v>7</v>
      </c>
      <c r="I157" s="6" t="s">
        <v>316</v>
      </c>
      <c r="J157" s="6">
        <v>501</v>
      </c>
      <c r="K157" s="6">
        <v>1230</v>
      </c>
      <c r="L157" s="8">
        <f t="shared" si="6"/>
        <v>21.482957827845176</v>
      </c>
      <c r="M157" s="6">
        <f>_xlfn.XLOOKUP(B157,'[3]Station Summary'!$A:$A,'[3]Station Summary'!$E:$E,0)</f>
        <v>44271</v>
      </c>
      <c r="N157" s="6">
        <f t="shared" si="7"/>
        <v>1328.1299999999999</v>
      </c>
      <c r="O157" s="24">
        <f t="shared" si="8"/>
        <v>0.28942807625649913</v>
      </c>
    </row>
    <row r="158" spans="2:15" x14ac:dyDescent="0.35">
      <c r="B158" s="25" t="s">
        <v>178</v>
      </c>
      <c r="C158" s="4" t="s">
        <v>473</v>
      </c>
      <c r="D158" s="5">
        <v>177473004</v>
      </c>
      <c r="E158" s="6" t="s">
        <v>315</v>
      </c>
      <c r="F158" s="7">
        <v>5807</v>
      </c>
      <c r="G158" s="7"/>
      <c r="H158" s="6" t="s">
        <v>7</v>
      </c>
      <c r="I158" s="6" t="s">
        <v>316</v>
      </c>
      <c r="J158" s="6">
        <v>95</v>
      </c>
      <c r="K158" s="6">
        <v>182</v>
      </c>
      <c r="L158" s="8">
        <f t="shared" si="6"/>
        <v>20.963898916967509</v>
      </c>
      <c r="M158" s="6">
        <f>_xlfn.XLOOKUP(B158,'[3]Station Summary'!$A:$A,'[3]Station Summary'!$E:$E,0)</f>
        <v>6323</v>
      </c>
      <c r="N158" s="6">
        <f t="shared" si="7"/>
        <v>189.69</v>
      </c>
      <c r="O158" s="24">
        <f t="shared" si="8"/>
        <v>0.34296028880866425</v>
      </c>
    </row>
    <row r="159" spans="2:15" x14ac:dyDescent="0.35">
      <c r="B159" s="25" t="s">
        <v>179</v>
      </c>
      <c r="C159" s="4" t="s">
        <v>474</v>
      </c>
      <c r="D159" s="5">
        <v>177643069</v>
      </c>
      <c r="E159" s="6" t="s">
        <v>315</v>
      </c>
      <c r="F159" s="7">
        <v>160873</v>
      </c>
      <c r="G159" s="7"/>
      <c r="H159" s="6" t="s">
        <v>7</v>
      </c>
      <c r="I159" s="6" t="s">
        <v>316</v>
      </c>
      <c r="J159" s="6">
        <v>2397</v>
      </c>
      <c r="K159" s="6">
        <v>5191</v>
      </c>
      <c r="L159" s="8">
        <f t="shared" si="6"/>
        <v>21.200975224037954</v>
      </c>
      <c r="M159" s="6">
        <f>_xlfn.XLOOKUP(B159,'[3]Station Summary'!$A:$A,'[3]Station Summary'!$E:$E,0)</f>
        <v>215006</v>
      </c>
      <c r="N159" s="6">
        <f t="shared" si="7"/>
        <v>6450.1799999999994</v>
      </c>
      <c r="O159" s="24">
        <f t="shared" si="8"/>
        <v>0.31589351607801791</v>
      </c>
    </row>
    <row r="160" spans="2:15" x14ac:dyDescent="0.35">
      <c r="B160" s="25" t="s">
        <v>180</v>
      </c>
      <c r="C160" s="4" t="s">
        <v>475</v>
      </c>
      <c r="D160" s="5">
        <v>178187395</v>
      </c>
      <c r="E160" s="6" t="s">
        <v>345</v>
      </c>
      <c r="F160" s="7">
        <v>95827</v>
      </c>
      <c r="G160" s="7"/>
      <c r="H160" s="6" t="s">
        <v>7</v>
      </c>
      <c r="I160" s="6" t="s">
        <v>316</v>
      </c>
      <c r="J160" s="6">
        <v>2101</v>
      </c>
      <c r="K160" s="6">
        <v>2629</v>
      </c>
      <c r="L160" s="8">
        <f t="shared" si="6"/>
        <v>20.259408033826638</v>
      </c>
      <c r="M160" s="6">
        <f>_xlfn.XLOOKUP(B160,'[3]Station Summary'!$A:$A,'[3]Station Summary'!$E:$E,0)</f>
        <v>104397</v>
      </c>
      <c r="N160" s="6">
        <f t="shared" si="7"/>
        <v>3131.91</v>
      </c>
      <c r="O160" s="24">
        <f t="shared" si="8"/>
        <v>0.44418604651162791</v>
      </c>
    </row>
    <row r="161" spans="2:15" x14ac:dyDescent="0.35">
      <c r="B161" s="23" t="s">
        <v>181</v>
      </c>
      <c r="C161" s="4">
        <v>37288245089</v>
      </c>
      <c r="D161" s="5" t="s">
        <v>182</v>
      </c>
      <c r="E161" s="6" t="s">
        <v>329</v>
      </c>
      <c r="F161" s="9">
        <v>170775</v>
      </c>
      <c r="G161" s="9"/>
      <c r="H161" s="6" t="s">
        <v>5</v>
      </c>
      <c r="I161" s="6" t="s">
        <v>316</v>
      </c>
      <c r="J161" s="6">
        <v>3520</v>
      </c>
      <c r="K161" s="6">
        <v>4675</v>
      </c>
      <c r="L161" s="8">
        <f t="shared" si="6"/>
        <v>20.838926174496645</v>
      </c>
      <c r="M161" s="6">
        <f>_xlfn.XLOOKUP(B161,'[3]Station Summary'!$A:$A,'[3]Station Summary'!$E:$E,0)</f>
        <v>122227</v>
      </c>
      <c r="N161" s="6">
        <f t="shared" si="7"/>
        <v>3666.81</v>
      </c>
      <c r="O161" s="24">
        <f t="shared" si="8"/>
        <v>0.42953020134228187</v>
      </c>
    </row>
    <row r="162" spans="2:15" x14ac:dyDescent="0.35">
      <c r="B162" s="25" t="s">
        <v>183</v>
      </c>
      <c r="C162" s="4" t="s">
        <v>476</v>
      </c>
      <c r="D162" s="5">
        <v>177178233</v>
      </c>
      <c r="E162" s="6" t="s">
        <v>315</v>
      </c>
      <c r="F162" s="7">
        <v>137436</v>
      </c>
      <c r="G162" s="7"/>
      <c r="H162" s="6" t="s">
        <v>7</v>
      </c>
      <c r="I162" s="6" t="s">
        <v>316</v>
      </c>
      <c r="J162" s="6">
        <v>1324</v>
      </c>
      <c r="K162" s="6">
        <v>4794</v>
      </c>
      <c r="L162" s="8">
        <f t="shared" si="6"/>
        <v>22.46420398823145</v>
      </c>
      <c r="M162" s="6">
        <f>_xlfn.XLOOKUP(B162,'[3]Station Summary'!$A:$A,'[3]Station Summary'!$E:$E,0)</f>
        <v>146626</v>
      </c>
      <c r="N162" s="6">
        <f t="shared" si="7"/>
        <v>4398.78</v>
      </c>
      <c r="O162" s="24">
        <f t="shared" si="8"/>
        <v>0.21641059169663288</v>
      </c>
    </row>
    <row r="163" spans="2:15" x14ac:dyDescent="0.35">
      <c r="B163" s="25" t="s">
        <v>184</v>
      </c>
      <c r="C163" s="4" t="s">
        <v>477</v>
      </c>
      <c r="D163" s="5">
        <v>177178506</v>
      </c>
      <c r="E163" s="6" t="s">
        <v>315</v>
      </c>
      <c r="F163" s="7">
        <v>55116</v>
      </c>
      <c r="G163" s="7"/>
      <c r="H163" s="6" t="s">
        <v>7</v>
      </c>
      <c r="I163" s="6" t="s">
        <v>316</v>
      </c>
      <c r="J163" s="6">
        <v>597</v>
      </c>
      <c r="K163" s="6">
        <v>1908</v>
      </c>
      <c r="L163" s="8">
        <f t="shared" si="6"/>
        <v>22.00239520958084</v>
      </c>
      <c r="M163" s="6">
        <f>_xlfn.XLOOKUP(B163,'[3]Station Summary'!$A:$A,'[3]Station Summary'!$E:$E,0)</f>
        <v>64293</v>
      </c>
      <c r="N163" s="6">
        <f t="shared" si="7"/>
        <v>1928.79</v>
      </c>
      <c r="O163" s="24">
        <f t="shared" si="8"/>
        <v>0.23832335329341317</v>
      </c>
    </row>
    <row r="164" spans="2:15" x14ac:dyDescent="0.35">
      <c r="B164" s="25" t="s">
        <v>185</v>
      </c>
      <c r="C164" s="4" t="s">
        <v>478</v>
      </c>
      <c r="D164" s="5">
        <v>169037775</v>
      </c>
      <c r="E164" s="6" t="s">
        <v>315</v>
      </c>
      <c r="F164" s="7">
        <v>470673</v>
      </c>
      <c r="G164" s="7"/>
      <c r="H164" s="6" t="s">
        <v>5</v>
      </c>
      <c r="I164" s="6" t="s">
        <v>316</v>
      </c>
      <c r="J164" s="6">
        <v>10503</v>
      </c>
      <c r="K164" s="6">
        <v>11672</v>
      </c>
      <c r="L164" s="8">
        <f t="shared" si="6"/>
        <v>21.225388951521985</v>
      </c>
      <c r="M164" s="6">
        <f>_xlfn.XLOOKUP(B164,'[3]Station Summary'!$A:$A,'[3]Station Summary'!$E:$E,0)</f>
        <v>630257</v>
      </c>
      <c r="N164" s="6">
        <f t="shared" si="7"/>
        <v>18907.71</v>
      </c>
      <c r="O164" s="24">
        <f t="shared" si="8"/>
        <v>0.47364148816234497</v>
      </c>
    </row>
    <row r="165" spans="2:15" x14ac:dyDescent="0.35">
      <c r="B165" s="23" t="s">
        <v>186</v>
      </c>
      <c r="C165" s="4">
        <v>92800449339</v>
      </c>
      <c r="D165" s="5">
        <v>197413085</v>
      </c>
      <c r="E165" s="6" t="s">
        <v>321</v>
      </c>
      <c r="F165" s="9">
        <v>14993</v>
      </c>
      <c r="G165" s="9"/>
      <c r="H165" s="6" t="s">
        <v>7</v>
      </c>
      <c r="I165" s="6" t="s">
        <v>316</v>
      </c>
      <c r="J165" s="6">
        <v>151</v>
      </c>
      <c r="K165" s="6">
        <v>519</v>
      </c>
      <c r="L165" s="8">
        <f t="shared" si="6"/>
        <v>22.377611940298507</v>
      </c>
      <c r="M165" s="6">
        <f>_xlfn.XLOOKUP(B165,'[3]Station Summary'!$A:$A,'[3]Station Summary'!$E:$E,0)</f>
        <v>20583</v>
      </c>
      <c r="N165" s="6">
        <f t="shared" si="7"/>
        <v>617.49</v>
      </c>
      <c r="O165" s="24">
        <f t="shared" si="8"/>
        <v>0.2253731343283582</v>
      </c>
    </row>
    <row r="166" spans="2:15" x14ac:dyDescent="0.35">
      <c r="B166" s="25" t="s">
        <v>187</v>
      </c>
      <c r="C166" s="4" t="s">
        <v>479</v>
      </c>
      <c r="D166" s="5">
        <v>158849976</v>
      </c>
      <c r="E166" s="6" t="s">
        <v>321</v>
      </c>
      <c r="F166" s="7">
        <v>441480</v>
      </c>
      <c r="G166" s="7"/>
      <c r="H166" s="6" t="s">
        <v>5</v>
      </c>
      <c r="I166" s="6" t="s">
        <v>316</v>
      </c>
      <c r="J166" s="6">
        <v>11500</v>
      </c>
      <c r="K166" s="6">
        <v>11266</v>
      </c>
      <c r="L166" s="8">
        <f t="shared" si="6"/>
        <v>19.392075902661865</v>
      </c>
      <c r="M166" s="6">
        <f>_xlfn.XLOOKUP(B166,'[3]Station Summary'!$A:$A,'[3]Station Summary'!$E:$E,0)</f>
        <v>582061</v>
      </c>
      <c r="N166" s="6">
        <f t="shared" si="7"/>
        <v>17461.829999999998</v>
      </c>
      <c r="O166" s="24">
        <f t="shared" si="8"/>
        <v>0.50513924273038746</v>
      </c>
    </row>
    <row r="167" spans="2:15" x14ac:dyDescent="0.35">
      <c r="B167" s="25" t="s">
        <v>188</v>
      </c>
      <c r="C167" s="4" t="s">
        <v>480</v>
      </c>
      <c r="D167" s="5">
        <v>179128190</v>
      </c>
      <c r="E167" s="6" t="s">
        <v>315</v>
      </c>
      <c r="F167" s="7">
        <v>36105</v>
      </c>
      <c r="G167" s="7"/>
      <c r="H167" s="6" t="s">
        <v>7</v>
      </c>
      <c r="I167" s="6" t="s">
        <v>316</v>
      </c>
      <c r="J167" s="6">
        <v>523</v>
      </c>
      <c r="K167" s="6">
        <v>1181</v>
      </c>
      <c r="L167" s="8">
        <f t="shared" si="6"/>
        <v>21.18838028169014</v>
      </c>
      <c r="M167" s="6">
        <f>_xlfn.XLOOKUP(B167,'[3]Station Summary'!$A:$A,'[3]Station Summary'!$E:$E,0)</f>
        <v>46788</v>
      </c>
      <c r="N167" s="6">
        <f t="shared" si="7"/>
        <v>1403.6399999999999</v>
      </c>
      <c r="O167" s="24">
        <f t="shared" si="8"/>
        <v>0.306924882629108</v>
      </c>
    </row>
    <row r="168" spans="2:15" x14ac:dyDescent="0.35">
      <c r="B168" s="25" t="s">
        <v>189</v>
      </c>
      <c r="C168" s="4" t="s">
        <v>481</v>
      </c>
      <c r="D168" s="5">
        <v>177941733</v>
      </c>
      <c r="E168" s="6" t="s">
        <v>315</v>
      </c>
      <c r="F168" s="7">
        <v>96090</v>
      </c>
      <c r="G168" s="7"/>
      <c r="H168" s="6" t="s">
        <v>7</v>
      </c>
      <c r="I168" s="6" t="s">
        <v>316</v>
      </c>
      <c r="J168" s="6">
        <v>1385</v>
      </c>
      <c r="K168" s="6">
        <v>3289</v>
      </c>
      <c r="L168" s="8">
        <f t="shared" si="6"/>
        <v>20.558408215661103</v>
      </c>
      <c r="M168" s="6">
        <f>_xlfn.XLOOKUP(B168,'[3]Station Summary'!$A:$A,'[3]Station Summary'!$E:$E,0)</f>
        <v>135804</v>
      </c>
      <c r="N168" s="6">
        <f t="shared" si="7"/>
        <v>4074.12</v>
      </c>
      <c r="O168" s="24">
        <f t="shared" si="8"/>
        <v>0.29632006846384251</v>
      </c>
    </row>
    <row r="169" spans="2:15" ht="15" thickBot="1" x14ac:dyDescent="0.4">
      <c r="B169" s="27" t="s">
        <v>190</v>
      </c>
      <c r="C169" s="28" t="s">
        <v>482</v>
      </c>
      <c r="D169" s="29">
        <v>179088505</v>
      </c>
      <c r="E169" s="30" t="s">
        <v>321</v>
      </c>
      <c r="F169" s="31">
        <v>11006</v>
      </c>
      <c r="G169" s="31"/>
      <c r="H169" s="30" t="s">
        <v>7</v>
      </c>
      <c r="I169" s="30" t="s">
        <v>316</v>
      </c>
      <c r="J169" s="30">
        <v>124</v>
      </c>
      <c r="K169" s="30">
        <v>373</v>
      </c>
      <c r="L169" s="32">
        <f t="shared" si="6"/>
        <v>22.144869215291749</v>
      </c>
      <c r="M169" s="30">
        <f>_xlfn.XLOOKUP(B169,'[3]Station Summary'!$A:$A,'[3]Station Summary'!$E:$E,0)</f>
        <v>12938</v>
      </c>
      <c r="N169" s="30">
        <f t="shared" si="7"/>
        <v>388.14</v>
      </c>
      <c r="O169" s="33">
        <f t="shared" si="8"/>
        <v>0.24949698189134809</v>
      </c>
    </row>
  </sheetData>
  <autoFilter ref="B2:M169" xr:uid="{E888FD0B-2EAA-47E1-9B4E-17E02C5D3214}"/>
  <conditionalFormatting sqref="B29:B85">
    <cfRule type="duplicateValues" dxfId="1" priority="3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6A4C-B519-4305-9B52-7D2C1635F334}">
  <dimension ref="A2:O119"/>
  <sheetViews>
    <sheetView workbookViewId="0">
      <pane xSplit="4" ySplit="2" topLeftCell="E113" activePane="bottomRight" state="frozen"/>
      <selection pane="topRight" activeCell="E1" sqref="E1"/>
      <selection pane="bottomLeft" activeCell="A3" sqref="A3"/>
      <selection pane="bottomRight" activeCell="F32" sqref="F32"/>
    </sheetView>
  </sheetViews>
  <sheetFormatPr defaultRowHeight="14.5" x14ac:dyDescent="0.35"/>
  <cols>
    <col min="2" max="2" width="17.54296875" bestFit="1" customWidth="1"/>
    <col min="3" max="3" width="14.26953125" style="1" bestFit="1" customWidth="1"/>
    <col min="4" max="4" width="15" style="1" bestFit="1" customWidth="1"/>
    <col min="5" max="5" width="20.54296875" bestFit="1" customWidth="1"/>
    <col min="6" max="6" width="11.7265625" style="2" bestFit="1" customWidth="1"/>
    <col min="7" max="7" width="11.453125" style="2" customWidth="1"/>
    <col min="8" max="8" width="10.26953125" bestFit="1" customWidth="1"/>
    <col min="9" max="9" width="21" bestFit="1" customWidth="1"/>
    <col min="10" max="10" width="15.7265625" bestFit="1" customWidth="1"/>
    <col min="11" max="11" width="12.453125" bestFit="1" customWidth="1"/>
    <col min="12" max="12" width="10.453125" bestFit="1" customWidth="1"/>
    <col min="13" max="13" width="10" bestFit="1" customWidth="1"/>
    <col min="14" max="14" width="9.54296875" bestFit="1" customWidth="1"/>
    <col min="15" max="15" width="12.81640625" style="3" bestFit="1" customWidth="1"/>
  </cols>
  <sheetData>
    <row r="2" spans="1:15" x14ac:dyDescent="0.35">
      <c r="A2" s="55" t="s">
        <v>483</v>
      </c>
      <c r="B2" s="56" t="s">
        <v>0</v>
      </c>
      <c r="C2" s="57" t="s">
        <v>304</v>
      </c>
      <c r="D2" s="58" t="s">
        <v>1</v>
      </c>
      <c r="E2" s="59" t="s">
        <v>305</v>
      </c>
      <c r="F2" s="60" t="s">
        <v>2</v>
      </c>
      <c r="G2" s="60" t="s">
        <v>306</v>
      </c>
      <c r="H2" s="59" t="s">
        <v>3</v>
      </c>
      <c r="I2" s="59" t="s">
        <v>307</v>
      </c>
      <c r="J2" s="59" t="s">
        <v>308</v>
      </c>
      <c r="K2" s="59" t="s">
        <v>309</v>
      </c>
      <c r="L2" s="59" t="s">
        <v>310</v>
      </c>
      <c r="M2" s="59" t="s">
        <v>311</v>
      </c>
      <c r="N2" s="59" t="s">
        <v>312</v>
      </c>
      <c r="O2" s="61" t="s">
        <v>313</v>
      </c>
    </row>
    <row r="3" spans="1:15" x14ac:dyDescent="0.35">
      <c r="A3" t="s">
        <v>484</v>
      </c>
      <c r="B3" t="s">
        <v>191</v>
      </c>
      <c r="C3" s="1">
        <v>25700496307</v>
      </c>
      <c r="D3">
        <v>175572882</v>
      </c>
      <c r="E3" t="s">
        <v>315</v>
      </c>
      <c r="F3" s="65">
        <v>20925</v>
      </c>
      <c r="H3" t="s">
        <v>7</v>
      </c>
      <c r="I3" t="s">
        <v>316</v>
      </c>
      <c r="J3">
        <v>263</v>
      </c>
      <c r="K3">
        <v>704</v>
      </c>
      <c r="L3" s="64">
        <f t="shared" ref="L3:L29" si="0">IFERROR(IF(G3="",F3/(J3+K3),G3/(J3+K3)),"Change")</f>
        <v>21.639089968976215</v>
      </c>
      <c r="M3">
        <f>_xlfn.XLOOKUP(B3,'[1]Station Summary'!$A:$A,'[1]Station Summary'!$E:$E,0)</f>
        <v>0</v>
      </c>
      <c r="N3">
        <f t="shared" ref="N3:N29" si="1">M3*0.03</f>
        <v>0</v>
      </c>
      <c r="O3" s="3">
        <f t="shared" ref="O3:O29" si="2">IFERROR(J3/(J3+K3),0)</f>
        <v>0.27197518097207857</v>
      </c>
    </row>
    <row r="4" spans="1:15" x14ac:dyDescent="0.35">
      <c r="A4" t="s">
        <v>484</v>
      </c>
      <c r="B4" t="s">
        <v>192</v>
      </c>
      <c r="C4" s="1">
        <v>25700450007</v>
      </c>
      <c r="D4">
        <v>177043256</v>
      </c>
      <c r="E4" t="s">
        <v>315</v>
      </c>
      <c r="F4" s="65">
        <v>29244</v>
      </c>
      <c r="H4" t="s">
        <v>7</v>
      </c>
      <c r="I4" t="s">
        <v>316</v>
      </c>
      <c r="J4">
        <v>437</v>
      </c>
      <c r="K4">
        <v>926</v>
      </c>
      <c r="L4" s="64">
        <f t="shared" si="0"/>
        <v>21.455612619222304</v>
      </c>
      <c r="M4">
        <f>_xlfn.XLOOKUP(B4,'[1]Station Summary'!$A:$A,'[1]Station Summary'!$E:$E,0)</f>
        <v>0</v>
      </c>
      <c r="N4">
        <f t="shared" si="1"/>
        <v>0</v>
      </c>
      <c r="O4" s="3">
        <f t="shared" si="2"/>
        <v>0.3206162876008804</v>
      </c>
    </row>
    <row r="5" spans="1:15" x14ac:dyDescent="0.35">
      <c r="A5" t="s">
        <v>484</v>
      </c>
      <c r="B5" t="s">
        <v>193</v>
      </c>
      <c r="C5" s="1">
        <v>25700549543</v>
      </c>
      <c r="D5">
        <v>174173452</v>
      </c>
      <c r="E5" t="s">
        <v>315</v>
      </c>
      <c r="F5" s="65">
        <v>80435</v>
      </c>
      <c r="H5" t="s">
        <v>7</v>
      </c>
      <c r="I5" t="s">
        <v>316</v>
      </c>
      <c r="J5">
        <v>1024</v>
      </c>
      <c r="K5">
        <v>2724</v>
      </c>
      <c r="L5" s="64">
        <f t="shared" si="0"/>
        <v>21.460779082177162</v>
      </c>
      <c r="M5">
        <f>_xlfn.XLOOKUP(B5,'[1]Station Summary'!$A:$A,'[1]Station Summary'!$E:$E,0)</f>
        <v>0</v>
      </c>
      <c r="N5">
        <f t="shared" si="1"/>
        <v>0</v>
      </c>
      <c r="O5" s="3">
        <f t="shared" si="2"/>
        <v>0.27321237993596587</v>
      </c>
    </row>
    <row r="6" spans="1:15" x14ac:dyDescent="0.35">
      <c r="A6" t="s">
        <v>484</v>
      </c>
      <c r="B6" t="s">
        <v>194</v>
      </c>
      <c r="C6" s="1">
        <v>25700943068</v>
      </c>
      <c r="D6">
        <v>177715687</v>
      </c>
      <c r="E6" t="s">
        <v>315</v>
      </c>
      <c r="F6" s="65">
        <v>47703</v>
      </c>
      <c r="H6" t="s">
        <v>7</v>
      </c>
      <c r="I6" t="s">
        <v>316</v>
      </c>
      <c r="J6">
        <v>608</v>
      </c>
      <c r="K6">
        <v>1574</v>
      </c>
      <c r="L6" s="64">
        <f t="shared" si="0"/>
        <v>21.862053162236482</v>
      </c>
      <c r="M6">
        <f>_xlfn.XLOOKUP(B6,'[1]Station Summary'!$A:$A,'[1]Station Summary'!$E:$E,0)</f>
        <v>0</v>
      </c>
      <c r="N6">
        <f t="shared" si="1"/>
        <v>0</v>
      </c>
      <c r="O6" s="3">
        <f t="shared" si="2"/>
        <v>0.27864344637946836</v>
      </c>
    </row>
    <row r="7" spans="1:15" x14ac:dyDescent="0.35">
      <c r="A7" t="s">
        <v>484</v>
      </c>
      <c r="B7" t="s">
        <v>195</v>
      </c>
      <c r="C7" s="1">
        <v>25700589838</v>
      </c>
      <c r="D7">
        <v>174173607</v>
      </c>
      <c r="E7" t="s">
        <v>315</v>
      </c>
      <c r="F7" s="65">
        <v>72727</v>
      </c>
      <c r="H7" t="s">
        <v>7</v>
      </c>
      <c r="I7" t="s">
        <v>316</v>
      </c>
      <c r="J7">
        <v>905</v>
      </c>
      <c r="K7">
        <v>2413</v>
      </c>
      <c r="L7" s="64">
        <f>IFERROR(IF(G7="",F7/(J7+K7),G7/(J7+K7)),"Change")</f>
        <v>21.918927064496685</v>
      </c>
      <c r="M7">
        <f>_xlfn.XLOOKUP(B7,'[1]Station Summary'!$A:$A,'[1]Station Summary'!$E:$E,0)</f>
        <v>0</v>
      </c>
      <c r="N7">
        <f t="shared" si="1"/>
        <v>0</v>
      </c>
      <c r="O7" s="3">
        <f t="shared" si="2"/>
        <v>0.27275467148884869</v>
      </c>
    </row>
    <row r="8" spans="1:15" x14ac:dyDescent="0.35">
      <c r="A8" t="s">
        <v>484</v>
      </c>
      <c r="B8" t="s">
        <v>196</v>
      </c>
      <c r="C8" s="1">
        <v>25700624395</v>
      </c>
      <c r="D8">
        <v>172313886</v>
      </c>
      <c r="E8" t="s">
        <v>315</v>
      </c>
      <c r="F8" s="65">
        <v>130716</v>
      </c>
      <c r="H8" t="s">
        <v>5</v>
      </c>
      <c r="I8" t="s">
        <v>316</v>
      </c>
      <c r="J8">
        <v>2063</v>
      </c>
      <c r="K8">
        <v>4139</v>
      </c>
      <c r="L8" s="64">
        <f t="shared" si="0"/>
        <v>21.07642695904547</v>
      </c>
      <c r="M8">
        <f>_xlfn.XLOOKUP(B8,'[1]Station Summary'!$A:$A,'[1]Station Summary'!$E:$E,0)</f>
        <v>0</v>
      </c>
      <c r="N8">
        <f t="shared" si="1"/>
        <v>0</v>
      </c>
      <c r="O8" s="3">
        <f t="shared" si="2"/>
        <v>0.33263463398903581</v>
      </c>
    </row>
    <row r="9" spans="1:15" x14ac:dyDescent="0.35">
      <c r="A9" t="s">
        <v>484</v>
      </c>
      <c r="B9" t="s">
        <v>197</v>
      </c>
      <c r="C9" s="1">
        <v>25700603654</v>
      </c>
      <c r="D9">
        <v>177044882</v>
      </c>
      <c r="E9" t="s">
        <v>315</v>
      </c>
      <c r="F9" s="65">
        <v>130399</v>
      </c>
      <c r="H9" t="s">
        <v>7</v>
      </c>
      <c r="I9" t="s">
        <v>316</v>
      </c>
      <c r="J9">
        <v>1626</v>
      </c>
      <c r="K9">
        <v>4388</v>
      </c>
      <c r="L9" s="64">
        <f t="shared" si="0"/>
        <v>21.682573994013968</v>
      </c>
      <c r="M9">
        <f>_xlfn.XLOOKUP(B9,'[1]Station Summary'!$A:$A,'[1]Station Summary'!$E:$E,0)</f>
        <v>0</v>
      </c>
      <c r="N9">
        <f t="shared" si="1"/>
        <v>0</v>
      </c>
      <c r="O9" s="3">
        <f t="shared" si="2"/>
        <v>0.27036913867642171</v>
      </c>
    </row>
    <row r="10" spans="1:15" x14ac:dyDescent="0.35">
      <c r="A10" t="s">
        <v>484</v>
      </c>
      <c r="B10" t="s">
        <v>198</v>
      </c>
      <c r="C10" s="1">
        <v>25700456020</v>
      </c>
      <c r="D10">
        <v>177261551</v>
      </c>
      <c r="E10" t="s">
        <v>315</v>
      </c>
      <c r="F10" s="65">
        <v>46989</v>
      </c>
      <c r="H10" t="s">
        <v>7</v>
      </c>
      <c r="I10" t="s">
        <v>316</v>
      </c>
      <c r="J10">
        <v>564</v>
      </c>
      <c r="K10">
        <v>1595</v>
      </c>
      <c r="L10" s="64">
        <f t="shared" si="0"/>
        <v>21.764242704955997</v>
      </c>
      <c r="M10">
        <f>_xlfn.XLOOKUP(B10,'[1]Station Summary'!$A:$A,'[1]Station Summary'!$E:$E,0)</f>
        <v>0</v>
      </c>
      <c r="N10">
        <f t="shared" si="1"/>
        <v>0</v>
      </c>
      <c r="O10" s="3">
        <f t="shared" si="2"/>
        <v>0.26123205187586845</v>
      </c>
    </row>
    <row r="11" spans="1:15" x14ac:dyDescent="0.35">
      <c r="A11" t="s">
        <v>484</v>
      </c>
      <c r="B11" t="s">
        <v>199</v>
      </c>
      <c r="C11" s="1">
        <v>25700531939</v>
      </c>
      <c r="D11">
        <v>174751483</v>
      </c>
      <c r="E11" t="s">
        <v>315</v>
      </c>
      <c r="F11" s="65">
        <v>38195</v>
      </c>
      <c r="H11" t="s">
        <v>7</v>
      </c>
      <c r="I11" t="s">
        <v>316</v>
      </c>
      <c r="J11">
        <v>555</v>
      </c>
      <c r="K11">
        <v>1219</v>
      </c>
      <c r="L11" s="64">
        <f t="shared" si="0"/>
        <v>21.530439684329199</v>
      </c>
      <c r="M11">
        <f>_xlfn.XLOOKUP(B11,'[1]Station Summary'!$A:$A,'[1]Station Summary'!$E:$E,0)</f>
        <v>0</v>
      </c>
      <c r="N11">
        <f t="shared" si="1"/>
        <v>0</v>
      </c>
      <c r="O11" s="3">
        <f t="shared" si="2"/>
        <v>0.31285231116121759</v>
      </c>
    </row>
    <row r="12" spans="1:15" x14ac:dyDescent="0.35">
      <c r="A12" t="s">
        <v>484</v>
      </c>
      <c r="B12" t="s">
        <v>200</v>
      </c>
      <c r="C12" s="1">
        <v>25700600015</v>
      </c>
      <c r="D12">
        <v>178545240</v>
      </c>
      <c r="E12" t="s">
        <v>315</v>
      </c>
      <c r="F12" s="65">
        <v>59587</v>
      </c>
      <c r="H12" t="s">
        <v>7</v>
      </c>
      <c r="I12" t="s">
        <v>316</v>
      </c>
      <c r="J12">
        <v>692</v>
      </c>
      <c r="K12">
        <v>2037</v>
      </c>
      <c r="L12" s="64">
        <f t="shared" si="0"/>
        <v>21.83473799926713</v>
      </c>
      <c r="M12">
        <f>_xlfn.XLOOKUP(B12,'[1]Station Summary'!$A:$A,'[1]Station Summary'!$E:$E,0)</f>
        <v>0</v>
      </c>
      <c r="N12">
        <f t="shared" si="1"/>
        <v>0</v>
      </c>
      <c r="O12" s="3">
        <f t="shared" si="2"/>
        <v>0.25357273726639795</v>
      </c>
    </row>
    <row r="13" spans="1:15" x14ac:dyDescent="0.35">
      <c r="A13" t="s">
        <v>484</v>
      </c>
      <c r="B13" t="s">
        <v>201</v>
      </c>
      <c r="C13" s="1">
        <v>25700504928</v>
      </c>
      <c r="D13">
        <v>177050996</v>
      </c>
      <c r="E13" t="s">
        <v>315</v>
      </c>
      <c r="F13" s="65">
        <v>46567</v>
      </c>
      <c r="H13" t="s">
        <v>7</v>
      </c>
      <c r="I13" t="s">
        <v>316</v>
      </c>
      <c r="J13">
        <v>771</v>
      </c>
      <c r="K13">
        <v>1429</v>
      </c>
      <c r="L13" s="64">
        <f t="shared" si="0"/>
        <v>21.166818181818183</v>
      </c>
      <c r="M13">
        <f>_xlfn.XLOOKUP(B13,'[1]Station Summary'!$A:$A,'[1]Station Summary'!$E:$E,0)</f>
        <v>0</v>
      </c>
      <c r="N13">
        <f t="shared" si="1"/>
        <v>0</v>
      </c>
      <c r="O13" s="3">
        <f t="shared" si="2"/>
        <v>0.35045454545454546</v>
      </c>
    </row>
    <row r="14" spans="1:15" x14ac:dyDescent="0.35">
      <c r="A14" t="s">
        <v>484</v>
      </c>
      <c r="B14" t="s">
        <v>202</v>
      </c>
      <c r="C14" s="1">
        <v>25700475087</v>
      </c>
      <c r="D14">
        <v>177042809</v>
      </c>
      <c r="E14" t="s">
        <v>485</v>
      </c>
      <c r="F14" s="65">
        <v>170936</v>
      </c>
      <c r="H14" t="s">
        <v>486</v>
      </c>
      <c r="I14" t="s">
        <v>316</v>
      </c>
      <c r="K14">
        <v>1941</v>
      </c>
      <c r="L14" s="64">
        <f t="shared" si="0"/>
        <v>88.065945388974754</v>
      </c>
      <c r="M14">
        <f>_xlfn.XLOOKUP(B14,'[1]Station Summary'!$A:$A,'[1]Station Summary'!$E:$E,0)</f>
        <v>0</v>
      </c>
      <c r="N14">
        <f t="shared" si="1"/>
        <v>0</v>
      </c>
      <c r="O14" s="3">
        <f t="shared" si="2"/>
        <v>0</v>
      </c>
    </row>
    <row r="15" spans="1:15" x14ac:dyDescent="0.35">
      <c r="A15" t="s">
        <v>487</v>
      </c>
      <c r="B15" t="s">
        <v>151</v>
      </c>
      <c r="C15" s="1">
        <v>92802476280</v>
      </c>
      <c r="D15">
        <v>177761786</v>
      </c>
      <c r="E15" t="s">
        <v>315</v>
      </c>
      <c r="F15" s="65">
        <v>23339</v>
      </c>
      <c r="H15" t="s">
        <v>7</v>
      </c>
      <c r="I15" t="s">
        <v>390</v>
      </c>
      <c r="L15" s="64" t="str">
        <f t="shared" si="0"/>
        <v>Change</v>
      </c>
      <c r="M15">
        <f>_xlfn.XLOOKUP(B15,'[1]Station Summary'!$A:$A,'[1]Station Summary'!$E:$E,0)</f>
        <v>133</v>
      </c>
      <c r="N15">
        <f t="shared" si="1"/>
        <v>3.9899999999999998</v>
      </c>
      <c r="O15" s="3">
        <f t="shared" si="2"/>
        <v>0</v>
      </c>
    </row>
    <row r="16" spans="1:15" x14ac:dyDescent="0.35">
      <c r="A16" t="s">
        <v>484</v>
      </c>
      <c r="B16" t="s">
        <v>203</v>
      </c>
      <c r="C16" s="1">
        <v>25700496463</v>
      </c>
      <c r="D16">
        <v>30749451</v>
      </c>
      <c r="E16" t="s">
        <v>315</v>
      </c>
      <c r="F16" s="65">
        <v>68509</v>
      </c>
      <c r="H16" t="s">
        <v>5</v>
      </c>
      <c r="I16" t="s">
        <v>346</v>
      </c>
      <c r="J16">
        <v>560.70000000000005</v>
      </c>
      <c r="K16">
        <v>1812</v>
      </c>
      <c r="L16" s="64">
        <f t="shared" si="0"/>
        <v>28.873856787625915</v>
      </c>
      <c r="M16">
        <f>_xlfn.XLOOKUP(B16,'[1]Station Summary'!$A:$A,'[1]Station Summary'!$E:$E,0)</f>
        <v>0</v>
      </c>
      <c r="N16">
        <f t="shared" si="1"/>
        <v>0</v>
      </c>
      <c r="O16" s="3">
        <f t="shared" si="2"/>
        <v>0.23631306106966751</v>
      </c>
    </row>
    <row r="17" spans="1:15" x14ac:dyDescent="0.35">
      <c r="A17" t="s">
        <v>484</v>
      </c>
      <c r="B17" t="s">
        <v>204</v>
      </c>
      <c r="C17" s="1">
        <v>25700483404</v>
      </c>
      <c r="D17">
        <v>177050582</v>
      </c>
      <c r="E17" t="s">
        <v>315</v>
      </c>
      <c r="F17" s="65">
        <v>95810</v>
      </c>
      <c r="H17" t="s">
        <v>7</v>
      </c>
      <c r="I17" t="s">
        <v>316</v>
      </c>
      <c r="J17">
        <v>1164</v>
      </c>
      <c r="K17">
        <v>3196</v>
      </c>
      <c r="L17" s="64">
        <f t="shared" si="0"/>
        <v>21.974770642201836</v>
      </c>
      <c r="M17">
        <f>_xlfn.XLOOKUP(B17,'[1]Station Summary'!$A:$A,'[1]Station Summary'!$E:$E,0)</f>
        <v>0</v>
      </c>
      <c r="N17">
        <f t="shared" si="1"/>
        <v>0</v>
      </c>
      <c r="O17" s="3">
        <f t="shared" si="2"/>
        <v>0.26697247706422017</v>
      </c>
    </row>
    <row r="18" spans="1:15" x14ac:dyDescent="0.35">
      <c r="A18" t="s">
        <v>484</v>
      </c>
      <c r="B18" t="s">
        <v>205</v>
      </c>
      <c r="C18" s="1">
        <v>25700460212</v>
      </c>
      <c r="D18">
        <v>174751810</v>
      </c>
      <c r="E18" t="s">
        <v>315</v>
      </c>
      <c r="F18" s="65">
        <v>22544</v>
      </c>
      <c r="H18" t="s">
        <v>488</v>
      </c>
      <c r="I18" t="s">
        <v>316</v>
      </c>
      <c r="J18">
        <v>315</v>
      </c>
      <c r="K18">
        <v>741</v>
      </c>
      <c r="L18" s="64">
        <f t="shared" si="0"/>
        <v>21.348484848484848</v>
      </c>
      <c r="M18">
        <f>_xlfn.XLOOKUP(B18,'[1]Station Summary'!$A:$A,'[1]Station Summary'!$E:$E,0)</f>
        <v>0</v>
      </c>
      <c r="N18">
        <f t="shared" si="1"/>
        <v>0</v>
      </c>
      <c r="O18" s="3">
        <f t="shared" si="2"/>
        <v>0.29829545454545453</v>
      </c>
    </row>
    <row r="19" spans="1:15" x14ac:dyDescent="0.35">
      <c r="A19" t="s">
        <v>484</v>
      </c>
      <c r="B19" t="s">
        <v>206</v>
      </c>
      <c r="C19" s="1">
        <v>92800449545</v>
      </c>
      <c r="D19" s="66">
        <v>197443944</v>
      </c>
      <c r="E19" t="s">
        <v>315</v>
      </c>
      <c r="F19" s="67">
        <v>124706</v>
      </c>
      <c r="H19" t="s">
        <v>489</v>
      </c>
      <c r="I19" t="s">
        <v>316</v>
      </c>
      <c r="J19">
        <v>769</v>
      </c>
      <c r="K19">
        <v>2110</v>
      </c>
      <c r="L19" s="64">
        <f t="shared" si="0"/>
        <v>43.315734630079888</v>
      </c>
      <c r="M19">
        <f>_xlfn.XLOOKUP(B19,'[1]Station Summary'!$A:$A,'[1]Station Summary'!$E:$E,0)</f>
        <v>0</v>
      </c>
      <c r="N19">
        <f t="shared" si="1"/>
        <v>0</v>
      </c>
      <c r="O19" s="3">
        <f t="shared" si="2"/>
        <v>0.26710663424800279</v>
      </c>
    </row>
    <row r="20" spans="1:15" x14ac:dyDescent="0.35">
      <c r="A20" t="s">
        <v>487</v>
      </c>
      <c r="B20" t="s">
        <v>207</v>
      </c>
      <c r="C20" s="1" t="s">
        <v>490</v>
      </c>
      <c r="D20" s="66">
        <v>167833001</v>
      </c>
      <c r="E20" t="s">
        <v>315</v>
      </c>
      <c r="F20" s="2">
        <v>452542</v>
      </c>
      <c r="H20" s="2" t="s">
        <v>5</v>
      </c>
      <c r="I20" t="s">
        <v>316</v>
      </c>
      <c r="J20">
        <v>11435</v>
      </c>
      <c r="K20">
        <v>11817</v>
      </c>
      <c r="L20" s="64">
        <f t="shared" si="0"/>
        <v>19.462497849647342</v>
      </c>
      <c r="M20">
        <f>_xlfn.XLOOKUP(B20,'[1]Station Summary'!$A:$A,'[1]Station Summary'!$E:$E,0)</f>
        <v>0</v>
      </c>
      <c r="N20">
        <f t="shared" si="1"/>
        <v>0</v>
      </c>
      <c r="O20" s="3">
        <f t="shared" si="2"/>
        <v>0.49178565284706693</v>
      </c>
    </row>
    <row r="21" spans="1:15" x14ac:dyDescent="0.35">
      <c r="A21" t="s">
        <v>487</v>
      </c>
      <c r="B21" t="s">
        <v>208</v>
      </c>
      <c r="C21" s="1" t="s">
        <v>491</v>
      </c>
      <c r="D21" s="66">
        <v>191633045</v>
      </c>
      <c r="E21" t="s">
        <v>315</v>
      </c>
      <c r="F21" s="2">
        <v>885413</v>
      </c>
      <c r="H21" s="2" t="s">
        <v>7</v>
      </c>
      <c r="I21" t="s">
        <v>346</v>
      </c>
      <c r="J21">
        <v>78</v>
      </c>
      <c r="K21">
        <v>27444</v>
      </c>
      <c r="L21" s="64">
        <f t="shared" si="0"/>
        <v>32.171099484049122</v>
      </c>
      <c r="M21">
        <f>_xlfn.XLOOKUP(B21,'[1]Station Summary'!$A:$A,'[1]Station Summary'!$E:$E,0)</f>
        <v>0</v>
      </c>
      <c r="N21">
        <f t="shared" si="1"/>
        <v>0</v>
      </c>
      <c r="O21" s="3">
        <f t="shared" si="2"/>
        <v>2.8340963592762155E-3</v>
      </c>
    </row>
    <row r="22" spans="1:15" x14ac:dyDescent="0.35">
      <c r="A22" t="s">
        <v>487</v>
      </c>
      <c r="B22" t="s">
        <v>209</v>
      </c>
      <c r="C22" s="1" t="s">
        <v>492</v>
      </c>
      <c r="D22" s="66">
        <v>24842977</v>
      </c>
      <c r="E22" t="s">
        <v>493</v>
      </c>
      <c r="F22" s="2">
        <v>19756</v>
      </c>
      <c r="H22" s="2" t="s">
        <v>103</v>
      </c>
      <c r="I22" t="s">
        <v>332</v>
      </c>
      <c r="L22" s="64" t="str">
        <f t="shared" si="0"/>
        <v>Change</v>
      </c>
      <c r="M22">
        <f>_xlfn.XLOOKUP(B22,'[1]Station Summary'!$A:$A,'[1]Station Summary'!$E:$E,0)</f>
        <v>0</v>
      </c>
      <c r="N22">
        <f t="shared" si="1"/>
        <v>0</v>
      </c>
      <c r="O22" s="3">
        <f t="shared" si="2"/>
        <v>0</v>
      </c>
    </row>
    <row r="23" spans="1:15" x14ac:dyDescent="0.35">
      <c r="A23" t="s">
        <v>487</v>
      </c>
      <c r="B23" t="s">
        <v>210</v>
      </c>
      <c r="C23" s="1" t="s">
        <v>494</v>
      </c>
      <c r="D23" s="66">
        <v>167832892</v>
      </c>
      <c r="E23" t="s">
        <v>315</v>
      </c>
      <c r="F23" s="2">
        <v>334481</v>
      </c>
      <c r="H23" s="2" t="s">
        <v>5</v>
      </c>
      <c r="I23" t="s">
        <v>316</v>
      </c>
      <c r="J23">
        <v>6126</v>
      </c>
      <c r="K23">
        <v>9908</v>
      </c>
      <c r="L23" s="64">
        <f t="shared" si="0"/>
        <v>20.860733441436945</v>
      </c>
      <c r="M23">
        <f>_xlfn.XLOOKUP(B23,'[1]Station Summary'!$A:$A,'[1]Station Summary'!$E:$E,0)</f>
        <v>0</v>
      </c>
      <c r="N23">
        <f t="shared" si="1"/>
        <v>0</v>
      </c>
      <c r="O23" s="3">
        <f t="shared" si="2"/>
        <v>0.38206311587875763</v>
      </c>
    </row>
    <row r="24" spans="1:15" x14ac:dyDescent="0.35">
      <c r="A24" t="s">
        <v>487</v>
      </c>
      <c r="B24" t="s">
        <v>211</v>
      </c>
      <c r="C24" s="1" t="s">
        <v>495</v>
      </c>
      <c r="D24" s="66">
        <v>20555645</v>
      </c>
      <c r="E24" t="s">
        <v>496</v>
      </c>
      <c r="F24" s="2">
        <v>30127</v>
      </c>
      <c r="H24" s="2" t="s">
        <v>497</v>
      </c>
      <c r="I24" t="s">
        <v>346</v>
      </c>
      <c r="L24" s="64" t="str">
        <f t="shared" si="0"/>
        <v>Change</v>
      </c>
      <c r="M24">
        <f>_xlfn.XLOOKUP(B24,'[1]Station Summary'!$A:$A,'[1]Station Summary'!$E:$E,0)</f>
        <v>0</v>
      </c>
      <c r="N24">
        <f t="shared" si="1"/>
        <v>0</v>
      </c>
      <c r="O24" s="3">
        <f t="shared" si="2"/>
        <v>0</v>
      </c>
    </row>
    <row r="25" spans="1:15" x14ac:dyDescent="0.35">
      <c r="A25" t="s">
        <v>487</v>
      </c>
      <c r="B25" t="s">
        <v>212</v>
      </c>
      <c r="C25" s="1" t="s">
        <v>498</v>
      </c>
      <c r="D25" s="66">
        <v>175333550</v>
      </c>
      <c r="E25" t="s">
        <v>315</v>
      </c>
      <c r="F25" s="2">
        <v>390423</v>
      </c>
      <c r="H25" s="2" t="s">
        <v>7</v>
      </c>
      <c r="I25" t="s">
        <v>316</v>
      </c>
      <c r="J25">
        <v>9625</v>
      </c>
      <c r="K25">
        <v>10066</v>
      </c>
      <c r="L25" s="64">
        <f t="shared" si="0"/>
        <v>19.827484637651718</v>
      </c>
      <c r="M25">
        <f>_xlfn.XLOOKUP(B25,'[1]Station Summary'!$A:$A,'[1]Station Summary'!$E:$E,0)</f>
        <v>0</v>
      </c>
      <c r="N25">
        <f t="shared" si="1"/>
        <v>0</v>
      </c>
      <c r="O25" s="3">
        <f t="shared" si="2"/>
        <v>0.48880199075719871</v>
      </c>
    </row>
    <row r="26" spans="1:15" x14ac:dyDescent="0.35">
      <c r="A26" t="s">
        <v>487</v>
      </c>
      <c r="B26" t="s">
        <v>213</v>
      </c>
      <c r="C26" s="1" t="s">
        <v>499</v>
      </c>
      <c r="D26" s="66">
        <v>172212126</v>
      </c>
      <c r="E26" t="s">
        <v>315</v>
      </c>
      <c r="F26" s="2">
        <v>237409</v>
      </c>
      <c r="H26" s="2" t="s">
        <v>5</v>
      </c>
      <c r="I26" t="s">
        <v>346</v>
      </c>
      <c r="L26" s="64" t="str">
        <f t="shared" si="0"/>
        <v>Change</v>
      </c>
      <c r="M26">
        <f>_xlfn.XLOOKUP(B26,'[1]Station Summary'!$A:$A,'[1]Station Summary'!$E:$E,0)</f>
        <v>0</v>
      </c>
      <c r="N26">
        <f t="shared" si="1"/>
        <v>0</v>
      </c>
      <c r="O26" s="3">
        <f t="shared" si="2"/>
        <v>0</v>
      </c>
    </row>
    <row r="27" spans="1:15" x14ac:dyDescent="0.35">
      <c r="A27" t="s">
        <v>487</v>
      </c>
      <c r="B27" t="s">
        <v>214</v>
      </c>
      <c r="C27" s="1" t="s">
        <v>500</v>
      </c>
      <c r="D27" s="66">
        <v>174927414</v>
      </c>
      <c r="E27" t="s">
        <v>315</v>
      </c>
      <c r="F27" s="2">
        <v>161785</v>
      </c>
      <c r="H27" s="2" t="s">
        <v>7</v>
      </c>
      <c r="I27" t="s">
        <v>316</v>
      </c>
      <c r="J27">
        <v>1399</v>
      </c>
      <c r="K27">
        <v>5740</v>
      </c>
      <c r="L27" s="64">
        <f t="shared" si="0"/>
        <v>22.662137554279312</v>
      </c>
      <c r="M27">
        <f>_xlfn.XLOOKUP(B27,'[1]Station Summary'!$A:$A,'[1]Station Summary'!$E:$E,0)</f>
        <v>0</v>
      </c>
      <c r="N27">
        <f t="shared" si="1"/>
        <v>0</v>
      </c>
      <c r="O27" s="3">
        <f t="shared" si="2"/>
        <v>0.19596582154363357</v>
      </c>
    </row>
    <row r="28" spans="1:15" x14ac:dyDescent="0.35">
      <c r="A28" t="s">
        <v>487</v>
      </c>
      <c r="B28" t="s">
        <v>215</v>
      </c>
      <c r="C28" s="1">
        <v>25701022110</v>
      </c>
      <c r="D28" s="66">
        <v>198107037</v>
      </c>
      <c r="E28" t="s">
        <v>501</v>
      </c>
      <c r="F28" s="2">
        <v>10487</v>
      </c>
      <c r="H28" s="2" t="s">
        <v>7</v>
      </c>
      <c r="I28" t="s">
        <v>316</v>
      </c>
      <c r="K28">
        <v>427</v>
      </c>
      <c r="L28" s="64">
        <f t="shared" si="0"/>
        <v>24.559718969555036</v>
      </c>
      <c r="M28">
        <f>_xlfn.XLOOKUP(B28,'[1]Station Summary'!$A:$A,'[1]Station Summary'!$E:$E,0)</f>
        <v>0</v>
      </c>
      <c r="N28">
        <f t="shared" si="1"/>
        <v>0</v>
      </c>
      <c r="O28" s="3">
        <f t="shared" si="2"/>
        <v>0</v>
      </c>
    </row>
    <row r="29" spans="1:15" x14ac:dyDescent="0.35">
      <c r="A29" t="s">
        <v>487</v>
      </c>
      <c r="B29" t="s">
        <v>216</v>
      </c>
      <c r="C29" s="63" t="s">
        <v>502</v>
      </c>
      <c r="D29" s="66">
        <v>147784876</v>
      </c>
      <c r="E29" t="s">
        <v>503</v>
      </c>
      <c r="F29" s="2">
        <v>137648</v>
      </c>
      <c r="H29" s="2" t="s">
        <v>504</v>
      </c>
      <c r="I29" t="s">
        <v>346</v>
      </c>
      <c r="L29" s="64" t="str">
        <f t="shared" si="0"/>
        <v>Change</v>
      </c>
      <c r="M29">
        <f>_xlfn.XLOOKUP(B29,'[1]Station Summary'!$A:$A,'[1]Station Summary'!$E:$E,0)</f>
        <v>0</v>
      </c>
      <c r="N29">
        <f t="shared" si="1"/>
        <v>0</v>
      </c>
      <c r="O29" s="3">
        <f t="shared" si="2"/>
        <v>0</v>
      </c>
    </row>
    <row r="30" spans="1:15" x14ac:dyDescent="0.35">
      <c r="A30" t="s">
        <v>487</v>
      </c>
      <c r="B30" s="62" t="s">
        <v>217</v>
      </c>
      <c r="C30" s="68" t="s">
        <v>505</v>
      </c>
      <c r="D30">
        <v>178264204</v>
      </c>
      <c r="E30" t="s">
        <v>315</v>
      </c>
      <c r="F30" s="2">
        <v>183123</v>
      </c>
      <c r="H30" t="s">
        <v>504</v>
      </c>
      <c r="I30" t="s">
        <v>316</v>
      </c>
      <c r="J30">
        <v>3326</v>
      </c>
      <c r="K30">
        <v>5465</v>
      </c>
      <c r="L30" s="64">
        <f t="shared" ref="L30:L93" si="3">IFERROR(IF(G30="",F30/(J30+K30),G30/(J30+K30)),"Change")</f>
        <v>20.830735979979526</v>
      </c>
      <c r="M30">
        <f>_xlfn.XLOOKUP(B30,'[1]Station Summary'!$A:$A,'[1]Station Summary'!$E:$E,0)</f>
        <v>0</v>
      </c>
      <c r="N30">
        <f t="shared" ref="N30:N93" si="4">M30*0.03</f>
        <v>0</v>
      </c>
      <c r="O30" s="3">
        <f t="shared" ref="O30:O93" si="5">IFERROR(J30/(J30+K30),0)</f>
        <v>0.37834148561028325</v>
      </c>
    </row>
    <row r="31" spans="1:15" x14ac:dyDescent="0.35">
      <c r="A31" t="s">
        <v>487</v>
      </c>
      <c r="B31" s="62" t="s">
        <v>218</v>
      </c>
      <c r="C31" s="68" t="s">
        <v>506</v>
      </c>
      <c r="D31">
        <v>16994453</v>
      </c>
      <c r="E31" t="s">
        <v>507</v>
      </c>
      <c r="F31" s="2">
        <v>53295</v>
      </c>
      <c r="H31" t="s">
        <v>508</v>
      </c>
      <c r="I31" t="s">
        <v>359</v>
      </c>
      <c r="L31" s="64" t="str">
        <f t="shared" si="3"/>
        <v>Change</v>
      </c>
      <c r="M31">
        <f>_xlfn.XLOOKUP(B31,'[1]Station Summary'!$A:$A,'[1]Station Summary'!$E:$E,0)</f>
        <v>0</v>
      </c>
      <c r="N31">
        <f t="shared" si="4"/>
        <v>0</v>
      </c>
      <c r="O31" s="3">
        <f t="shared" si="5"/>
        <v>0</v>
      </c>
    </row>
    <row r="32" spans="1:15" x14ac:dyDescent="0.35">
      <c r="A32" t="s">
        <v>487</v>
      </c>
      <c r="B32" t="s">
        <v>219</v>
      </c>
      <c r="C32" s="68" t="s">
        <v>509</v>
      </c>
      <c r="D32" s="66">
        <v>195840325</v>
      </c>
      <c r="E32" t="s">
        <v>386</v>
      </c>
      <c r="F32" s="2">
        <v>22030</v>
      </c>
      <c r="H32" t="s">
        <v>7</v>
      </c>
      <c r="I32" t="s">
        <v>316</v>
      </c>
      <c r="K32">
        <v>897</v>
      </c>
      <c r="L32" s="64">
        <f t="shared" si="3"/>
        <v>24.55964325529543</v>
      </c>
      <c r="M32">
        <f>_xlfn.XLOOKUP(B32,'[1]Station Summary'!$A:$A,'[1]Station Summary'!$E:$E,0)</f>
        <v>0</v>
      </c>
      <c r="N32">
        <f t="shared" si="4"/>
        <v>0</v>
      </c>
      <c r="O32" s="3">
        <f t="shared" si="5"/>
        <v>0</v>
      </c>
    </row>
    <row r="33" spans="1:15" x14ac:dyDescent="0.35">
      <c r="A33" t="s">
        <v>487</v>
      </c>
      <c r="B33" t="s">
        <v>220</v>
      </c>
      <c r="C33" t="s">
        <v>510</v>
      </c>
      <c r="D33">
        <v>156132938</v>
      </c>
      <c r="E33" t="s">
        <v>315</v>
      </c>
      <c r="F33" s="2">
        <v>135519</v>
      </c>
      <c r="G33"/>
      <c r="H33" t="s">
        <v>162</v>
      </c>
      <c r="I33" t="s">
        <v>316</v>
      </c>
      <c r="J33">
        <v>3123</v>
      </c>
      <c r="K33">
        <v>3626</v>
      </c>
      <c r="L33" s="64">
        <f t="shared" si="3"/>
        <v>20.07986368350867</v>
      </c>
      <c r="M33">
        <f>_xlfn.XLOOKUP(B33,'[1]Station Summary'!$A:$A,'[1]Station Summary'!$E:$E,0)</f>
        <v>0</v>
      </c>
      <c r="N33">
        <f t="shared" si="4"/>
        <v>0</v>
      </c>
      <c r="O33" s="3">
        <f t="shared" si="5"/>
        <v>0.46273522003259743</v>
      </c>
    </row>
    <row r="34" spans="1:15" x14ac:dyDescent="0.35">
      <c r="A34" t="s">
        <v>487</v>
      </c>
      <c r="B34" t="s">
        <v>221</v>
      </c>
      <c r="C34" t="s">
        <v>511</v>
      </c>
      <c r="D34">
        <v>156314817</v>
      </c>
      <c r="E34" t="s">
        <v>315</v>
      </c>
      <c r="F34" s="2">
        <v>10376</v>
      </c>
      <c r="G34"/>
      <c r="H34" t="s">
        <v>5</v>
      </c>
      <c r="I34" t="s">
        <v>316</v>
      </c>
      <c r="J34">
        <v>4776</v>
      </c>
      <c r="K34">
        <v>5614</v>
      </c>
      <c r="L34" s="64">
        <f t="shared" si="3"/>
        <v>0.9986525505293552</v>
      </c>
      <c r="M34">
        <f>_xlfn.XLOOKUP(B34,'[1]Station Summary'!$A:$A,'[1]Station Summary'!$E:$E,0)</f>
        <v>0</v>
      </c>
      <c r="N34">
        <f t="shared" si="4"/>
        <v>0</v>
      </c>
      <c r="O34" s="3">
        <f t="shared" si="5"/>
        <v>0.45967276227141485</v>
      </c>
    </row>
    <row r="35" spans="1:15" x14ac:dyDescent="0.35">
      <c r="A35" t="s">
        <v>487</v>
      </c>
      <c r="B35" t="s">
        <v>222</v>
      </c>
      <c r="C35" t="s">
        <v>512</v>
      </c>
      <c r="D35">
        <v>155903083</v>
      </c>
      <c r="E35" t="s">
        <v>321</v>
      </c>
      <c r="F35" s="2">
        <v>218997</v>
      </c>
      <c r="G35"/>
      <c r="H35" t="s">
        <v>5</v>
      </c>
      <c r="I35" t="s">
        <v>316</v>
      </c>
      <c r="J35">
        <v>4445</v>
      </c>
      <c r="K35">
        <v>6376</v>
      </c>
      <c r="L35" s="64">
        <f t="shared" si="3"/>
        <v>20.238148045467149</v>
      </c>
      <c r="M35">
        <f>_xlfn.XLOOKUP(B35,'[1]Station Summary'!$A:$A,'[1]Station Summary'!$E:$E,0)</f>
        <v>0</v>
      </c>
      <c r="N35">
        <f t="shared" si="4"/>
        <v>0</v>
      </c>
      <c r="O35" s="3">
        <f t="shared" si="5"/>
        <v>0.41077534423805562</v>
      </c>
    </row>
    <row r="36" spans="1:15" x14ac:dyDescent="0.35">
      <c r="A36" t="s">
        <v>487</v>
      </c>
      <c r="B36" t="s">
        <v>223</v>
      </c>
      <c r="C36" t="s">
        <v>513</v>
      </c>
      <c r="D36">
        <v>177713886</v>
      </c>
      <c r="E36" t="s">
        <v>315</v>
      </c>
      <c r="F36" s="2">
        <v>59733</v>
      </c>
      <c r="G36"/>
      <c r="H36" t="s">
        <v>7</v>
      </c>
      <c r="I36" t="s">
        <v>316</v>
      </c>
      <c r="J36">
        <v>928</v>
      </c>
      <c r="K36">
        <v>1870</v>
      </c>
      <c r="L36" s="64">
        <f t="shared" si="3"/>
        <v>21.348463187991424</v>
      </c>
      <c r="M36">
        <f>_xlfn.XLOOKUP(B36,'[1]Station Summary'!$A:$A,'[1]Station Summary'!$E:$E,0)</f>
        <v>0</v>
      </c>
      <c r="N36">
        <f t="shared" si="4"/>
        <v>0</v>
      </c>
      <c r="O36" s="3">
        <f t="shared" si="5"/>
        <v>0.33166547533952823</v>
      </c>
    </row>
    <row r="37" spans="1:15" x14ac:dyDescent="0.35">
      <c r="A37" t="s">
        <v>487</v>
      </c>
      <c r="B37" t="s">
        <v>224</v>
      </c>
      <c r="C37" t="s">
        <v>514</v>
      </c>
      <c r="D37">
        <v>156315178</v>
      </c>
      <c r="E37" t="s">
        <v>315</v>
      </c>
      <c r="F37" s="2">
        <v>238690</v>
      </c>
      <c r="G37"/>
      <c r="H37" t="s">
        <v>5</v>
      </c>
      <c r="I37" t="s">
        <v>316</v>
      </c>
      <c r="J37">
        <v>5790</v>
      </c>
      <c r="K37">
        <v>6353</v>
      </c>
      <c r="L37" s="64">
        <f t="shared" si="3"/>
        <v>19.656592275384995</v>
      </c>
      <c r="M37">
        <f>_xlfn.XLOOKUP(B37,'[1]Station Summary'!$A:$A,'[1]Station Summary'!$E:$E,0)</f>
        <v>0</v>
      </c>
      <c r="N37">
        <f t="shared" si="4"/>
        <v>0</v>
      </c>
      <c r="O37" s="3">
        <f t="shared" si="5"/>
        <v>0.47681791978917892</v>
      </c>
    </row>
    <row r="38" spans="1:15" x14ac:dyDescent="0.35">
      <c r="A38" t="s">
        <v>487</v>
      </c>
      <c r="B38" t="s">
        <v>225</v>
      </c>
      <c r="C38" t="s">
        <v>515</v>
      </c>
      <c r="D38">
        <v>189053455</v>
      </c>
      <c r="E38" t="s">
        <v>315</v>
      </c>
      <c r="F38" s="2">
        <v>36392</v>
      </c>
      <c r="G38"/>
      <c r="H38" t="s">
        <v>7</v>
      </c>
      <c r="I38" t="s">
        <v>346</v>
      </c>
      <c r="L38" s="64" t="str">
        <f t="shared" si="3"/>
        <v>Change</v>
      </c>
      <c r="M38">
        <f>_xlfn.XLOOKUP(B38,'[1]Station Summary'!$A:$A,'[1]Station Summary'!$E:$E,0)</f>
        <v>0</v>
      </c>
      <c r="N38">
        <f t="shared" si="4"/>
        <v>0</v>
      </c>
      <c r="O38" s="3">
        <f t="shared" si="5"/>
        <v>0</v>
      </c>
    </row>
    <row r="39" spans="1:15" x14ac:dyDescent="0.35">
      <c r="A39" t="s">
        <v>487</v>
      </c>
      <c r="B39" t="s">
        <v>226</v>
      </c>
      <c r="C39" t="s">
        <v>516</v>
      </c>
      <c r="D39">
        <v>167579564</v>
      </c>
      <c r="E39" t="s">
        <v>321</v>
      </c>
      <c r="F39" s="2">
        <v>179087</v>
      </c>
      <c r="G39"/>
      <c r="H39" t="s">
        <v>5</v>
      </c>
      <c r="I39" t="s">
        <v>316</v>
      </c>
      <c r="J39">
        <v>2917</v>
      </c>
      <c r="K39">
        <v>5668</v>
      </c>
      <c r="L39" s="64">
        <f t="shared" si="3"/>
        <v>20.860454280722191</v>
      </c>
      <c r="M39">
        <f>_xlfn.XLOOKUP(B39,'[1]Station Summary'!$A:$A,'[1]Station Summary'!$E:$E,0)</f>
        <v>0</v>
      </c>
      <c r="N39">
        <f t="shared" si="4"/>
        <v>0</v>
      </c>
      <c r="O39" s="3">
        <f t="shared" si="5"/>
        <v>0.33977868375072801</v>
      </c>
    </row>
    <row r="40" spans="1:15" x14ac:dyDescent="0.35">
      <c r="A40" t="s">
        <v>487</v>
      </c>
      <c r="B40" t="s">
        <v>227</v>
      </c>
      <c r="C40" t="s">
        <v>517</v>
      </c>
      <c r="D40">
        <v>174441517</v>
      </c>
      <c r="E40" t="s">
        <v>315</v>
      </c>
      <c r="F40" s="2">
        <v>204489</v>
      </c>
      <c r="G40"/>
      <c r="H40" t="s">
        <v>7</v>
      </c>
      <c r="I40" t="s">
        <v>316</v>
      </c>
      <c r="J40">
        <v>3915</v>
      </c>
      <c r="K40">
        <v>6051</v>
      </c>
      <c r="L40" s="64">
        <f t="shared" si="3"/>
        <v>20.51866345574955</v>
      </c>
      <c r="M40">
        <f>_xlfn.XLOOKUP(B40,'[1]Station Summary'!$A:$A,'[1]Station Summary'!$E:$E,0)</f>
        <v>0</v>
      </c>
      <c r="N40">
        <f t="shared" si="4"/>
        <v>0</v>
      </c>
      <c r="O40" s="3">
        <f t="shared" si="5"/>
        <v>0.39283564118001202</v>
      </c>
    </row>
    <row r="41" spans="1:15" x14ac:dyDescent="0.35">
      <c r="A41" t="s">
        <v>487</v>
      </c>
      <c r="B41" t="s">
        <v>228</v>
      </c>
      <c r="C41" t="s">
        <v>518</v>
      </c>
      <c r="D41">
        <v>167726122</v>
      </c>
      <c r="E41" t="s">
        <v>315</v>
      </c>
      <c r="F41" s="2">
        <v>260058</v>
      </c>
      <c r="G41"/>
      <c r="H41" t="s">
        <v>5</v>
      </c>
      <c r="I41" t="s">
        <v>316</v>
      </c>
      <c r="J41">
        <v>6377</v>
      </c>
      <c r="K41">
        <v>6874</v>
      </c>
      <c r="L41" s="64">
        <f t="shared" si="3"/>
        <v>19.625537695268282</v>
      </c>
      <c r="M41">
        <f>_xlfn.XLOOKUP(B41,'[1]Station Summary'!$A:$A,'[1]Station Summary'!$E:$E,0)</f>
        <v>0</v>
      </c>
      <c r="N41">
        <f t="shared" si="4"/>
        <v>0</v>
      </c>
      <c r="O41" s="3">
        <f t="shared" si="5"/>
        <v>0.48124669836238776</v>
      </c>
    </row>
    <row r="42" spans="1:15" x14ac:dyDescent="0.35">
      <c r="A42" t="s">
        <v>487</v>
      </c>
      <c r="B42" t="s">
        <v>229</v>
      </c>
      <c r="C42" t="s">
        <v>519</v>
      </c>
      <c r="D42">
        <v>157762564</v>
      </c>
      <c r="E42" t="s">
        <v>315</v>
      </c>
      <c r="F42" s="2">
        <v>137793</v>
      </c>
      <c r="G42"/>
      <c r="H42" t="s">
        <v>5</v>
      </c>
      <c r="I42" t="s">
        <v>316</v>
      </c>
      <c r="J42">
        <v>2415</v>
      </c>
      <c r="K42">
        <v>4216</v>
      </c>
      <c r="L42" s="64">
        <f t="shared" si="3"/>
        <v>20.780123661589503</v>
      </c>
      <c r="M42">
        <f>_xlfn.XLOOKUP(B42,'[1]Station Summary'!$A:$A,'[1]Station Summary'!$E:$E,0)</f>
        <v>0</v>
      </c>
      <c r="N42">
        <f t="shared" si="4"/>
        <v>0</v>
      </c>
      <c r="O42" s="3">
        <f t="shared" si="5"/>
        <v>0.36419846177047205</v>
      </c>
    </row>
    <row r="43" spans="1:15" x14ac:dyDescent="0.35">
      <c r="A43" t="s">
        <v>487</v>
      </c>
      <c r="B43" t="s">
        <v>230</v>
      </c>
      <c r="C43" t="s">
        <v>520</v>
      </c>
      <c r="D43">
        <v>167579319</v>
      </c>
      <c r="E43" t="s">
        <v>315</v>
      </c>
      <c r="F43" s="2">
        <v>122683</v>
      </c>
      <c r="G43"/>
      <c r="H43" t="s">
        <v>5</v>
      </c>
      <c r="I43" t="s">
        <v>316</v>
      </c>
      <c r="J43">
        <v>2120</v>
      </c>
      <c r="K43">
        <v>3779</v>
      </c>
      <c r="L43" s="64">
        <f t="shared" si="3"/>
        <v>20.797253771825734</v>
      </c>
      <c r="M43">
        <f>_xlfn.XLOOKUP(B43,'[1]Station Summary'!$A:$A,'[1]Station Summary'!$E:$E,0)</f>
        <v>0</v>
      </c>
      <c r="N43">
        <f t="shared" si="4"/>
        <v>0</v>
      </c>
      <c r="O43" s="3">
        <f t="shared" si="5"/>
        <v>0.35938294626207834</v>
      </c>
    </row>
    <row r="44" spans="1:15" x14ac:dyDescent="0.35">
      <c r="A44" t="s">
        <v>487</v>
      </c>
      <c r="B44" t="s">
        <v>231</v>
      </c>
      <c r="C44" t="s">
        <v>521</v>
      </c>
      <c r="D44">
        <v>48861599</v>
      </c>
      <c r="E44" t="s">
        <v>315</v>
      </c>
      <c r="F44" s="2">
        <v>118517</v>
      </c>
      <c r="G44"/>
      <c r="H44" t="s">
        <v>5</v>
      </c>
      <c r="I44" t="s">
        <v>316</v>
      </c>
      <c r="J44">
        <v>1925</v>
      </c>
      <c r="K44">
        <v>3686</v>
      </c>
      <c r="L44" s="64">
        <f t="shared" si="3"/>
        <v>21.122259846729637</v>
      </c>
      <c r="M44">
        <f>_xlfn.XLOOKUP(B44,'[1]Station Summary'!$A:$A,'[1]Station Summary'!$E:$E,0)</f>
        <v>0</v>
      </c>
      <c r="N44">
        <f t="shared" si="4"/>
        <v>0</v>
      </c>
      <c r="O44" s="3">
        <f t="shared" si="5"/>
        <v>0.3430761005168419</v>
      </c>
    </row>
    <row r="45" spans="1:15" x14ac:dyDescent="0.35">
      <c r="A45" t="s">
        <v>487</v>
      </c>
      <c r="B45" t="s">
        <v>232</v>
      </c>
      <c r="C45" t="s">
        <v>522</v>
      </c>
      <c r="D45">
        <v>20956991</v>
      </c>
      <c r="E45" t="s">
        <v>523</v>
      </c>
      <c r="F45" s="2">
        <v>59682</v>
      </c>
      <c r="G45"/>
      <c r="H45" t="s">
        <v>524</v>
      </c>
      <c r="I45" t="s">
        <v>332</v>
      </c>
      <c r="L45" s="64" t="str">
        <f t="shared" si="3"/>
        <v>Change</v>
      </c>
      <c r="M45">
        <f>_xlfn.XLOOKUP(B45,'[1]Station Summary'!$A:$A,'[1]Station Summary'!$E:$E,0)</f>
        <v>0</v>
      </c>
      <c r="N45">
        <f t="shared" si="4"/>
        <v>0</v>
      </c>
      <c r="O45" s="3">
        <f t="shared" si="5"/>
        <v>0</v>
      </c>
    </row>
    <row r="46" spans="1:15" x14ac:dyDescent="0.35">
      <c r="A46" t="s">
        <v>487</v>
      </c>
      <c r="B46" t="s">
        <v>233</v>
      </c>
      <c r="C46" t="s">
        <v>525</v>
      </c>
      <c r="D46">
        <v>172228674</v>
      </c>
      <c r="E46" t="s">
        <v>315</v>
      </c>
      <c r="F46" s="2">
        <v>309727</v>
      </c>
      <c r="G46"/>
      <c r="H46" t="s">
        <v>5</v>
      </c>
      <c r="I46" t="s">
        <v>316</v>
      </c>
      <c r="J46">
        <v>5149</v>
      </c>
      <c r="K46">
        <v>9492</v>
      </c>
      <c r="L46" s="64">
        <f t="shared" si="3"/>
        <v>21.154770848985724</v>
      </c>
      <c r="M46">
        <f>_xlfn.XLOOKUP(B46,'[1]Station Summary'!$A:$A,'[1]Station Summary'!$E:$E,0)</f>
        <v>0</v>
      </c>
      <c r="N46">
        <f t="shared" si="4"/>
        <v>0</v>
      </c>
      <c r="O46" s="3">
        <f t="shared" si="5"/>
        <v>0.35168362816747489</v>
      </c>
    </row>
    <row r="47" spans="1:15" x14ac:dyDescent="0.35">
      <c r="A47" t="s">
        <v>487</v>
      </c>
      <c r="B47" t="s">
        <v>234</v>
      </c>
      <c r="C47" t="s">
        <v>526</v>
      </c>
      <c r="D47">
        <v>157025420</v>
      </c>
      <c r="E47" t="s">
        <v>321</v>
      </c>
      <c r="F47" s="2">
        <v>94798</v>
      </c>
      <c r="G47"/>
      <c r="H47" t="s">
        <v>5</v>
      </c>
      <c r="I47" t="s">
        <v>316</v>
      </c>
      <c r="J47">
        <v>1365</v>
      </c>
      <c r="K47">
        <v>3033</v>
      </c>
      <c r="L47" s="64">
        <f t="shared" si="3"/>
        <v>21.554797635288768</v>
      </c>
      <c r="M47">
        <f>_xlfn.XLOOKUP(B47,'[1]Station Summary'!$A:$A,'[1]Station Summary'!$E:$E,0)</f>
        <v>0</v>
      </c>
      <c r="N47">
        <f t="shared" si="4"/>
        <v>0</v>
      </c>
      <c r="O47" s="3">
        <f t="shared" si="5"/>
        <v>0.31036834924965895</v>
      </c>
    </row>
    <row r="48" spans="1:15" x14ac:dyDescent="0.35">
      <c r="A48" t="s">
        <v>487</v>
      </c>
      <c r="B48" t="s">
        <v>235</v>
      </c>
      <c r="C48" t="s">
        <v>527</v>
      </c>
      <c r="D48">
        <v>165989049</v>
      </c>
      <c r="E48" t="s">
        <v>528</v>
      </c>
      <c r="F48" s="2">
        <v>40617</v>
      </c>
      <c r="G48"/>
      <c r="H48" t="s">
        <v>90</v>
      </c>
      <c r="I48" t="s">
        <v>316</v>
      </c>
      <c r="J48">
        <v>155</v>
      </c>
      <c r="K48">
        <v>1540</v>
      </c>
      <c r="L48" s="64">
        <f t="shared" si="3"/>
        <v>23.962831858407078</v>
      </c>
      <c r="M48">
        <f>_xlfn.XLOOKUP(B48,'[1]Station Summary'!$A:$A,'[1]Station Summary'!$E:$E,0)</f>
        <v>0</v>
      </c>
      <c r="N48">
        <f t="shared" si="4"/>
        <v>0</v>
      </c>
      <c r="O48" s="3">
        <f t="shared" si="5"/>
        <v>9.1445427728613568E-2</v>
      </c>
    </row>
    <row r="49" spans="1:15" x14ac:dyDescent="0.35">
      <c r="A49" t="s">
        <v>487</v>
      </c>
      <c r="B49" t="s">
        <v>236</v>
      </c>
      <c r="C49" t="s">
        <v>529</v>
      </c>
      <c r="D49">
        <v>155896747</v>
      </c>
      <c r="E49" t="s">
        <v>315</v>
      </c>
      <c r="F49" s="2">
        <v>153867</v>
      </c>
      <c r="G49"/>
      <c r="H49" t="s">
        <v>5</v>
      </c>
      <c r="I49" t="s">
        <v>316</v>
      </c>
      <c r="J49">
        <v>2699</v>
      </c>
      <c r="K49">
        <v>4630</v>
      </c>
      <c r="L49" s="64">
        <f t="shared" si="3"/>
        <v>20.994269340974213</v>
      </c>
      <c r="M49">
        <f>_xlfn.XLOOKUP(B49,'[1]Station Summary'!$A:$A,'[1]Station Summary'!$E:$E,0)</f>
        <v>0</v>
      </c>
      <c r="N49">
        <f t="shared" si="4"/>
        <v>0</v>
      </c>
      <c r="O49" s="3">
        <f t="shared" si="5"/>
        <v>0.36826306453813618</v>
      </c>
    </row>
    <row r="50" spans="1:15" x14ac:dyDescent="0.35">
      <c r="A50" t="s">
        <v>487</v>
      </c>
      <c r="B50" t="s">
        <v>237</v>
      </c>
      <c r="C50" t="s">
        <v>530</v>
      </c>
      <c r="D50">
        <v>156133001</v>
      </c>
      <c r="E50" t="s">
        <v>315</v>
      </c>
      <c r="F50" s="2">
        <v>125813</v>
      </c>
      <c r="G50"/>
      <c r="H50" t="s">
        <v>5</v>
      </c>
      <c r="I50" t="s">
        <v>316</v>
      </c>
      <c r="J50">
        <v>1941</v>
      </c>
      <c r="K50">
        <v>4026</v>
      </c>
      <c r="L50" s="64">
        <f t="shared" si="3"/>
        <v>21.084799731858556</v>
      </c>
      <c r="M50">
        <f>_xlfn.XLOOKUP(B50,'[1]Station Summary'!$A:$A,'[1]Station Summary'!$E:$E,0)</f>
        <v>0</v>
      </c>
      <c r="N50">
        <f t="shared" si="4"/>
        <v>0</v>
      </c>
      <c r="O50" s="3">
        <f t="shared" si="5"/>
        <v>0.32528908999497236</v>
      </c>
    </row>
    <row r="51" spans="1:15" x14ac:dyDescent="0.35">
      <c r="A51" t="s">
        <v>487</v>
      </c>
      <c r="B51" t="s">
        <v>238</v>
      </c>
      <c r="C51" t="s">
        <v>531</v>
      </c>
      <c r="D51">
        <v>156132953</v>
      </c>
      <c r="E51" t="s">
        <v>315</v>
      </c>
      <c r="F51" s="2">
        <v>119684</v>
      </c>
      <c r="G51"/>
      <c r="H51" t="s">
        <v>5</v>
      </c>
      <c r="I51" t="s">
        <v>316</v>
      </c>
      <c r="J51">
        <v>2171</v>
      </c>
      <c r="K51">
        <v>3558</v>
      </c>
      <c r="L51" s="64">
        <f t="shared" si="3"/>
        <v>20.890905917263048</v>
      </c>
      <c r="M51">
        <f>_xlfn.XLOOKUP(B51,'[1]Station Summary'!$A:$A,'[1]Station Summary'!$E:$E,0)</f>
        <v>0</v>
      </c>
      <c r="N51">
        <f t="shared" si="4"/>
        <v>0</v>
      </c>
      <c r="O51" s="3">
        <f t="shared" si="5"/>
        <v>0.37894920579507768</v>
      </c>
    </row>
    <row r="52" spans="1:15" x14ac:dyDescent="0.35">
      <c r="A52" t="s">
        <v>487</v>
      </c>
      <c r="B52" t="s">
        <v>239</v>
      </c>
      <c r="C52" t="s">
        <v>532</v>
      </c>
      <c r="D52">
        <v>156158135</v>
      </c>
      <c r="E52" t="s">
        <v>315</v>
      </c>
      <c r="F52" s="2">
        <v>32825</v>
      </c>
      <c r="G52"/>
      <c r="H52" t="s">
        <v>162</v>
      </c>
      <c r="I52" t="s">
        <v>316</v>
      </c>
      <c r="J52">
        <v>439</v>
      </c>
      <c r="K52">
        <v>1095</v>
      </c>
      <c r="L52" s="64">
        <f t="shared" si="3"/>
        <v>21.398305084745761</v>
      </c>
      <c r="M52">
        <f>_xlfn.XLOOKUP(B52,'[1]Station Summary'!$A:$A,'[1]Station Summary'!$E:$E,0)</f>
        <v>0</v>
      </c>
      <c r="N52">
        <f t="shared" si="4"/>
        <v>0</v>
      </c>
      <c r="O52" s="3">
        <f t="shared" si="5"/>
        <v>0.28617992177314211</v>
      </c>
    </row>
    <row r="53" spans="1:15" x14ac:dyDescent="0.35">
      <c r="A53" t="s">
        <v>487</v>
      </c>
      <c r="B53" t="s">
        <v>240</v>
      </c>
      <c r="C53" t="s">
        <v>533</v>
      </c>
      <c r="D53">
        <v>177790397</v>
      </c>
      <c r="E53" t="s">
        <v>315</v>
      </c>
      <c r="F53" s="2">
        <v>29863</v>
      </c>
      <c r="G53"/>
      <c r="H53" t="s">
        <v>7</v>
      </c>
      <c r="I53" t="s">
        <v>316</v>
      </c>
      <c r="J53">
        <v>264</v>
      </c>
      <c r="K53">
        <v>1056</v>
      </c>
      <c r="L53" s="64">
        <f t="shared" si="3"/>
        <v>22.62348484848485</v>
      </c>
      <c r="M53">
        <f>_xlfn.XLOOKUP(B53,'[1]Station Summary'!$A:$A,'[1]Station Summary'!$E:$E,0)</f>
        <v>0</v>
      </c>
      <c r="N53">
        <f t="shared" si="4"/>
        <v>0</v>
      </c>
      <c r="O53" s="3">
        <f t="shared" si="5"/>
        <v>0.2</v>
      </c>
    </row>
    <row r="54" spans="1:15" x14ac:dyDescent="0.35">
      <c r="A54" t="s">
        <v>487</v>
      </c>
      <c r="B54" t="s">
        <v>241</v>
      </c>
      <c r="C54" t="s">
        <v>534</v>
      </c>
      <c r="D54">
        <v>173519218</v>
      </c>
      <c r="E54" t="s">
        <v>315</v>
      </c>
      <c r="F54" s="2">
        <v>44043</v>
      </c>
      <c r="G54"/>
      <c r="H54" t="s">
        <v>7</v>
      </c>
      <c r="I54" t="s">
        <v>316</v>
      </c>
      <c r="J54">
        <v>882</v>
      </c>
      <c r="K54">
        <v>1259</v>
      </c>
      <c r="L54" s="64">
        <f t="shared" si="3"/>
        <v>20.571228397944886</v>
      </c>
      <c r="M54">
        <f>_xlfn.XLOOKUP(B54,'[1]Station Summary'!$A:$A,'[1]Station Summary'!$E:$E,0)</f>
        <v>0</v>
      </c>
      <c r="N54">
        <f t="shared" si="4"/>
        <v>0</v>
      </c>
      <c r="O54" s="3">
        <f t="shared" si="5"/>
        <v>0.41195702942550211</v>
      </c>
    </row>
    <row r="55" spans="1:15" x14ac:dyDescent="0.35">
      <c r="A55" t="s">
        <v>487</v>
      </c>
      <c r="B55" t="s">
        <v>242</v>
      </c>
      <c r="C55" t="s">
        <v>535</v>
      </c>
      <c r="D55">
        <v>164185462</v>
      </c>
      <c r="E55" t="s">
        <v>315</v>
      </c>
      <c r="F55" s="2">
        <v>186217</v>
      </c>
      <c r="G55"/>
      <c r="H55" t="s">
        <v>5</v>
      </c>
      <c r="I55" t="s">
        <v>346</v>
      </c>
      <c r="L55" s="64" t="str">
        <f t="shared" si="3"/>
        <v>Change</v>
      </c>
      <c r="M55">
        <f>_xlfn.XLOOKUP(B55,'[1]Station Summary'!$A:$A,'[1]Station Summary'!$E:$E,0)</f>
        <v>0</v>
      </c>
      <c r="N55">
        <f t="shared" si="4"/>
        <v>0</v>
      </c>
      <c r="O55" s="3">
        <f t="shared" si="5"/>
        <v>0</v>
      </c>
    </row>
    <row r="56" spans="1:15" x14ac:dyDescent="0.35">
      <c r="A56" t="s">
        <v>487</v>
      </c>
      <c r="B56" t="s">
        <v>243</v>
      </c>
      <c r="C56" t="s">
        <v>536</v>
      </c>
      <c r="D56">
        <v>156314114</v>
      </c>
      <c r="E56" t="s">
        <v>315</v>
      </c>
      <c r="F56" s="2">
        <v>70514</v>
      </c>
      <c r="G56"/>
      <c r="H56" t="s">
        <v>5</v>
      </c>
      <c r="I56" t="s">
        <v>316</v>
      </c>
      <c r="J56">
        <v>1471</v>
      </c>
      <c r="K56">
        <v>1980</v>
      </c>
      <c r="L56" s="64">
        <f t="shared" si="3"/>
        <v>20.43291799478412</v>
      </c>
      <c r="M56">
        <f>_xlfn.XLOOKUP(B56,'[1]Station Summary'!$A:$A,'[1]Station Summary'!$E:$E,0)</f>
        <v>0</v>
      </c>
      <c r="N56">
        <f t="shared" si="4"/>
        <v>0</v>
      </c>
      <c r="O56" s="3">
        <f t="shared" si="5"/>
        <v>0.42625325992465951</v>
      </c>
    </row>
    <row r="57" spans="1:15" x14ac:dyDescent="0.35">
      <c r="A57" t="s">
        <v>487</v>
      </c>
      <c r="B57" t="s">
        <v>244</v>
      </c>
      <c r="C57" t="s">
        <v>537</v>
      </c>
      <c r="D57">
        <v>157663483</v>
      </c>
      <c r="E57" t="s">
        <v>315</v>
      </c>
      <c r="F57" s="2">
        <v>6675</v>
      </c>
      <c r="G57"/>
      <c r="H57" t="s">
        <v>5</v>
      </c>
      <c r="I57" t="s">
        <v>316</v>
      </c>
      <c r="J57">
        <v>865</v>
      </c>
      <c r="K57">
        <v>1530</v>
      </c>
      <c r="L57" s="64">
        <f t="shared" si="3"/>
        <v>2.7870563674321502</v>
      </c>
      <c r="M57">
        <f>_xlfn.XLOOKUP(B57,'[1]Station Summary'!$A:$A,'[1]Station Summary'!$E:$E,0)</f>
        <v>0</v>
      </c>
      <c r="N57">
        <f t="shared" si="4"/>
        <v>0</v>
      </c>
      <c r="O57" s="3">
        <f t="shared" si="5"/>
        <v>0.36116910229645094</v>
      </c>
    </row>
    <row r="58" spans="1:15" x14ac:dyDescent="0.35">
      <c r="A58" t="s">
        <v>487</v>
      </c>
      <c r="B58" t="s">
        <v>245</v>
      </c>
      <c r="C58" t="s">
        <v>538</v>
      </c>
      <c r="D58">
        <v>174984645</v>
      </c>
      <c r="E58" t="s">
        <v>315</v>
      </c>
      <c r="F58" s="2">
        <v>166578</v>
      </c>
      <c r="G58"/>
      <c r="H58" t="s">
        <v>7</v>
      </c>
      <c r="I58" t="s">
        <v>316</v>
      </c>
      <c r="J58">
        <v>2175</v>
      </c>
      <c r="K58">
        <v>5465</v>
      </c>
      <c r="L58" s="64">
        <f t="shared" si="3"/>
        <v>21.803403141361258</v>
      </c>
      <c r="M58">
        <f>_xlfn.XLOOKUP(B58,'[1]Station Summary'!$A:$A,'[1]Station Summary'!$E:$E,0)</f>
        <v>0</v>
      </c>
      <c r="N58">
        <f t="shared" si="4"/>
        <v>0</v>
      </c>
      <c r="O58" s="3">
        <f t="shared" si="5"/>
        <v>0.28468586387434552</v>
      </c>
    </row>
    <row r="59" spans="1:15" x14ac:dyDescent="0.35">
      <c r="A59" t="s">
        <v>487</v>
      </c>
      <c r="B59" t="s">
        <v>246</v>
      </c>
      <c r="C59" t="s">
        <v>539</v>
      </c>
      <c r="D59">
        <v>179227463</v>
      </c>
      <c r="E59" t="s">
        <v>321</v>
      </c>
      <c r="F59" s="2">
        <v>123306</v>
      </c>
      <c r="G59"/>
      <c r="H59" t="s">
        <v>7</v>
      </c>
      <c r="I59" t="s">
        <v>316</v>
      </c>
      <c r="J59">
        <v>1774</v>
      </c>
      <c r="K59">
        <v>3946</v>
      </c>
      <c r="L59" s="64">
        <f t="shared" si="3"/>
        <v>21.556993006993007</v>
      </c>
      <c r="M59">
        <f>_xlfn.XLOOKUP(B59,'[1]Station Summary'!$A:$A,'[1]Station Summary'!$E:$E,0)</f>
        <v>0</v>
      </c>
      <c r="N59">
        <f t="shared" si="4"/>
        <v>0</v>
      </c>
      <c r="O59" s="3">
        <f t="shared" si="5"/>
        <v>0.31013986013986011</v>
      </c>
    </row>
    <row r="60" spans="1:15" x14ac:dyDescent="0.35">
      <c r="A60" t="s">
        <v>487</v>
      </c>
      <c r="B60" t="s">
        <v>247</v>
      </c>
      <c r="C60" t="s">
        <v>540</v>
      </c>
      <c r="D60">
        <v>165145671</v>
      </c>
      <c r="E60" t="s">
        <v>321</v>
      </c>
      <c r="F60" s="2">
        <v>70887</v>
      </c>
      <c r="G60"/>
      <c r="H60" t="s">
        <v>5</v>
      </c>
      <c r="I60" t="s">
        <v>316</v>
      </c>
      <c r="J60">
        <v>1090</v>
      </c>
      <c r="K60">
        <v>2226</v>
      </c>
      <c r="L60" s="64">
        <f t="shared" si="3"/>
        <v>21.377261761158021</v>
      </c>
      <c r="M60">
        <f>_xlfn.XLOOKUP(B60,'[1]Station Summary'!$A:$A,'[1]Station Summary'!$E:$E,0)</f>
        <v>0</v>
      </c>
      <c r="N60">
        <f t="shared" si="4"/>
        <v>0</v>
      </c>
      <c r="O60" s="3">
        <f t="shared" si="5"/>
        <v>0.32870928829915563</v>
      </c>
    </row>
    <row r="61" spans="1:15" x14ac:dyDescent="0.35">
      <c r="A61" t="s">
        <v>487</v>
      </c>
      <c r="B61" t="s">
        <v>541</v>
      </c>
      <c r="E61" t="s">
        <v>542</v>
      </c>
      <c r="F61" s="2">
        <v>28799.93</v>
      </c>
      <c r="H61" s="69">
        <v>46243</v>
      </c>
      <c r="I61" t="s">
        <v>543</v>
      </c>
      <c r="L61" s="64" t="str">
        <f t="shared" si="3"/>
        <v>Change</v>
      </c>
      <c r="M61">
        <f>_xlfn.XLOOKUP(B61,'[1]Station Summary'!$A:$A,'[1]Station Summary'!$E:$E,0)</f>
        <v>0</v>
      </c>
      <c r="N61">
        <f t="shared" si="4"/>
        <v>0</v>
      </c>
      <c r="O61" s="3">
        <f t="shared" si="5"/>
        <v>0</v>
      </c>
    </row>
    <row r="62" spans="1:15" x14ac:dyDescent="0.35">
      <c r="A62" t="s">
        <v>487</v>
      </c>
      <c r="B62" t="s">
        <v>544</v>
      </c>
      <c r="E62" t="s">
        <v>542</v>
      </c>
      <c r="F62" s="2">
        <v>118150.15</v>
      </c>
      <c r="H62" s="69">
        <v>46243</v>
      </c>
      <c r="I62" t="s">
        <v>543</v>
      </c>
      <c r="L62" s="64" t="str">
        <f t="shared" si="3"/>
        <v>Change</v>
      </c>
      <c r="M62">
        <f>_xlfn.XLOOKUP(B62,'[1]Station Summary'!$A:$A,'[1]Station Summary'!$E:$E,0)</f>
        <v>0</v>
      </c>
      <c r="N62">
        <f t="shared" si="4"/>
        <v>0</v>
      </c>
      <c r="O62" s="3">
        <f t="shared" si="5"/>
        <v>0</v>
      </c>
    </row>
    <row r="63" spans="1:15" x14ac:dyDescent="0.35">
      <c r="A63" t="s">
        <v>487</v>
      </c>
      <c r="B63" t="s">
        <v>545</v>
      </c>
      <c r="E63" t="s">
        <v>542</v>
      </c>
      <c r="F63" s="2">
        <v>115162.4</v>
      </c>
      <c r="H63" s="70" t="s">
        <v>546</v>
      </c>
      <c r="I63" t="s">
        <v>543</v>
      </c>
      <c r="L63" s="64" t="str">
        <f t="shared" si="3"/>
        <v>Change</v>
      </c>
      <c r="M63">
        <f>_xlfn.XLOOKUP(B63,'[1]Station Summary'!$A:$A,'[1]Station Summary'!$E:$E,0)</f>
        <v>0</v>
      </c>
      <c r="N63">
        <f t="shared" si="4"/>
        <v>0</v>
      </c>
      <c r="O63" s="3">
        <f t="shared" si="5"/>
        <v>0</v>
      </c>
    </row>
    <row r="64" spans="1:15" x14ac:dyDescent="0.35">
      <c r="A64" t="s">
        <v>487</v>
      </c>
      <c r="B64" t="s">
        <v>248</v>
      </c>
      <c r="C64" s="1" t="s">
        <v>547</v>
      </c>
      <c r="D64" s="1">
        <v>173602307</v>
      </c>
      <c r="E64" t="s">
        <v>315</v>
      </c>
      <c r="F64" s="2">
        <v>89694</v>
      </c>
      <c r="H64" t="s">
        <v>7</v>
      </c>
      <c r="I64" t="s">
        <v>316</v>
      </c>
      <c r="J64">
        <v>1022</v>
      </c>
      <c r="K64">
        <v>3033</v>
      </c>
      <c r="L64" s="64">
        <f t="shared" si="3"/>
        <v>22.1193588162762</v>
      </c>
      <c r="M64">
        <f>_xlfn.XLOOKUP(B64,'[1]Station Summary'!$A:$A,'[1]Station Summary'!$E:$E,0)</f>
        <v>0</v>
      </c>
      <c r="N64">
        <f t="shared" si="4"/>
        <v>0</v>
      </c>
      <c r="O64" s="3">
        <f t="shared" si="5"/>
        <v>0.25203452527743525</v>
      </c>
    </row>
    <row r="65" spans="1:15" x14ac:dyDescent="0.35">
      <c r="A65" t="s">
        <v>487</v>
      </c>
      <c r="B65" t="s">
        <v>249</v>
      </c>
      <c r="C65" s="1" t="s">
        <v>548</v>
      </c>
      <c r="D65" s="1">
        <v>174751988</v>
      </c>
      <c r="E65" t="s">
        <v>315</v>
      </c>
      <c r="F65" s="2">
        <v>200244</v>
      </c>
      <c r="H65" t="s">
        <v>7</v>
      </c>
      <c r="I65" t="s">
        <v>316</v>
      </c>
      <c r="J65">
        <v>2253</v>
      </c>
      <c r="K65">
        <v>6887</v>
      </c>
      <c r="L65" s="64">
        <f t="shared" si="3"/>
        <v>21.908533916849017</v>
      </c>
      <c r="M65">
        <f>_xlfn.XLOOKUP(B65,'[1]Station Summary'!$A:$A,'[1]Station Summary'!$E:$E,0)</f>
        <v>0</v>
      </c>
      <c r="N65">
        <f t="shared" si="4"/>
        <v>0</v>
      </c>
      <c r="O65" s="3">
        <f t="shared" si="5"/>
        <v>0.24649890590809628</v>
      </c>
    </row>
    <row r="66" spans="1:15" x14ac:dyDescent="0.35">
      <c r="A66" t="s">
        <v>487</v>
      </c>
      <c r="B66" t="s">
        <v>250</v>
      </c>
      <c r="C66" s="1" t="s">
        <v>549</v>
      </c>
      <c r="D66" s="1">
        <v>175085253</v>
      </c>
      <c r="E66" t="s">
        <v>315</v>
      </c>
      <c r="F66" s="2">
        <v>15711</v>
      </c>
      <c r="H66" t="s">
        <v>7</v>
      </c>
      <c r="I66" t="s">
        <v>316</v>
      </c>
      <c r="J66">
        <v>191</v>
      </c>
      <c r="K66">
        <v>524</v>
      </c>
      <c r="L66" s="64">
        <f t="shared" si="3"/>
        <v>21.973426573426572</v>
      </c>
      <c r="M66">
        <f>_xlfn.XLOOKUP(B66,'[1]Station Summary'!$A:$A,'[1]Station Summary'!$E:$E,0)</f>
        <v>0</v>
      </c>
      <c r="N66">
        <f t="shared" si="4"/>
        <v>0</v>
      </c>
      <c r="O66" s="3">
        <f t="shared" si="5"/>
        <v>0.26713286713286716</v>
      </c>
    </row>
    <row r="67" spans="1:15" x14ac:dyDescent="0.35">
      <c r="A67" t="s">
        <v>487</v>
      </c>
      <c r="B67" t="s">
        <v>251</v>
      </c>
      <c r="C67" s="1" t="s">
        <v>550</v>
      </c>
      <c r="D67" s="1">
        <v>174518831</v>
      </c>
      <c r="E67" t="s">
        <v>315</v>
      </c>
      <c r="F67" s="2">
        <v>95429</v>
      </c>
      <c r="H67" t="s">
        <v>7</v>
      </c>
      <c r="I67" t="s">
        <v>316</v>
      </c>
      <c r="J67">
        <v>1041</v>
      </c>
      <c r="K67">
        <v>3255</v>
      </c>
      <c r="L67" s="64">
        <f t="shared" si="3"/>
        <v>22.213454376163874</v>
      </c>
      <c r="M67">
        <f>_xlfn.XLOOKUP(B67,'[1]Station Summary'!$A:$A,'[1]Station Summary'!$E:$E,0)</f>
        <v>0</v>
      </c>
      <c r="N67">
        <f t="shared" si="4"/>
        <v>0</v>
      </c>
      <c r="O67" s="3">
        <f t="shared" si="5"/>
        <v>0.24231843575418993</v>
      </c>
    </row>
    <row r="68" spans="1:15" x14ac:dyDescent="0.35">
      <c r="A68" t="s">
        <v>487</v>
      </c>
      <c r="B68" t="s">
        <v>252</v>
      </c>
      <c r="C68" s="1" t="s">
        <v>551</v>
      </c>
      <c r="D68" s="1">
        <v>173594193</v>
      </c>
      <c r="E68" t="s">
        <v>315</v>
      </c>
      <c r="F68" s="2">
        <v>82092</v>
      </c>
      <c r="H68" t="s">
        <v>504</v>
      </c>
      <c r="I68" t="s">
        <v>316</v>
      </c>
      <c r="J68">
        <v>1820</v>
      </c>
      <c r="K68">
        <v>2240</v>
      </c>
      <c r="L68" s="64">
        <f t="shared" si="3"/>
        <v>20.219704433497537</v>
      </c>
      <c r="M68">
        <f>_xlfn.XLOOKUP(B68,'[1]Station Summary'!$A:$A,'[1]Station Summary'!$E:$E,0)</f>
        <v>0</v>
      </c>
      <c r="N68">
        <f t="shared" si="4"/>
        <v>0</v>
      </c>
      <c r="O68" s="3">
        <f t="shared" si="5"/>
        <v>0.44827586206896552</v>
      </c>
    </row>
    <row r="69" spans="1:15" x14ac:dyDescent="0.35">
      <c r="A69" t="s">
        <v>487</v>
      </c>
      <c r="B69" t="s">
        <v>253</v>
      </c>
      <c r="C69" s="1" t="s">
        <v>552</v>
      </c>
      <c r="D69" s="1">
        <v>177716527</v>
      </c>
      <c r="E69" t="s">
        <v>315</v>
      </c>
      <c r="F69" s="2">
        <v>35882</v>
      </c>
      <c r="H69" t="s">
        <v>7</v>
      </c>
      <c r="I69" t="s">
        <v>316</v>
      </c>
      <c r="J69">
        <v>416</v>
      </c>
      <c r="K69">
        <v>1209</v>
      </c>
      <c r="L69" s="64">
        <f t="shared" si="3"/>
        <v>22.081230769230768</v>
      </c>
      <c r="M69">
        <f>_xlfn.XLOOKUP(B69,'[1]Station Summary'!$A:$A,'[1]Station Summary'!$E:$E,0)</f>
        <v>0</v>
      </c>
      <c r="N69">
        <f t="shared" si="4"/>
        <v>0</v>
      </c>
      <c r="O69" s="3">
        <f t="shared" si="5"/>
        <v>0.25600000000000001</v>
      </c>
    </row>
    <row r="70" spans="1:15" x14ac:dyDescent="0.35">
      <c r="A70" t="s">
        <v>487</v>
      </c>
      <c r="B70" t="s">
        <v>254</v>
      </c>
      <c r="C70" s="1" t="s">
        <v>553</v>
      </c>
      <c r="D70" s="1">
        <v>177116254</v>
      </c>
      <c r="E70" t="s">
        <v>315</v>
      </c>
      <c r="F70" s="2">
        <v>146286</v>
      </c>
      <c r="H70" t="s">
        <v>504</v>
      </c>
      <c r="I70" t="s">
        <v>316</v>
      </c>
      <c r="J70">
        <v>2754</v>
      </c>
      <c r="K70">
        <v>4288</v>
      </c>
      <c r="L70" s="64">
        <f t="shared" si="3"/>
        <v>20.773359840954274</v>
      </c>
      <c r="M70">
        <f>_xlfn.XLOOKUP(B70,'[1]Station Summary'!$A:$A,'[1]Station Summary'!$E:$E,0)</f>
        <v>0</v>
      </c>
      <c r="N70">
        <f t="shared" si="4"/>
        <v>0</v>
      </c>
      <c r="O70" s="3">
        <f t="shared" si="5"/>
        <v>0.39108207895484237</v>
      </c>
    </row>
    <row r="71" spans="1:15" x14ac:dyDescent="0.35">
      <c r="A71" t="s">
        <v>487</v>
      </c>
      <c r="B71" t="s">
        <v>255</v>
      </c>
      <c r="C71" s="1" t="s">
        <v>554</v>
      </c>
      <c r="D71" s="1">
        <v>174511212</v>
      </c>
      <c r="E71" t="s">
        <v>315</v>
      </c>
      <c r="F71" s="2">
        <v>186272</v>
      </c>
      <c r="H71" t="s">
        <v>7</v>
      </c>
      <c r="I71" t="s">
        <v>316</v>
      </c>
      <c r="J71">
        <v>2335</v>
      </c>
      <c r="K71">
        <v>6170</v>
      </c>
      <c r="L71" s="64">
        <f t="shared" si="3"/>
        <v>21.901469723691946</v>
      </c>
      <c r="M71">
        <f>_xlfn.XLOOKUP(B71,'[1]Station Summary'!$A:$A,'[1]Station Summary'!$E:$E,0)</f>
        <v>0</v>
      </c>
      <c r="N71">
        <f t="shared" si="4"/>
        <v>0</v>
      </c>
      <c r="O71" s="3">
        <f t="shared" si="5"/>
        <v>0.27454438565549677</v>
      </c>
    </row>
    <row r="72" spans="1:15" x14ac:dyDescent="0.35">
      <c r="A72" t="s">
        <v>487</v>
      </c>
      <c r="B72" t="s">
        <v>256</v>
      </c>
      <c r="C72" s="1" t="s">
        <v>555</v>
      </c>
      <c r="D72" s="1">
        <v>173595851</v>
      </c>
      <c r="E72" t="s">
        <v>315</v>
      </c>
      <c r="F72" s="2">
        <v>62029</v>
      </c>
      <c r="H72" t="s">
        <v>7</v>
      </c>
      <c r="I72" t="s">
        <v>316</v>
      </c>
      <c r="J72">
        <v>904</v>
      </c>
      <c r="K72">
        <v>1978</v>
      </c>
      <c r="L72" s="64">
        <f t="shared" si="3"/>
        <v>21.522900763358777</v>
      </c>
      <c r="M72">
        <f>_xlfn.XLOOKUP(B72,'[1]Station Summary'!$A:$A,'[1]Station Summary'!$E:$E,0)</f>
        <v>0</v>
      </c>
      <c r="N72">
        <f t="shared" si="4"/>
        <v>0</v>
      </c>
      <c r="O72" s="3">
        <f t="shared" si="5"/>
        <v>0.31367106176266479</v>
      </c>
    </row>
    <row r="73" spans="1:15" x14ac:dyDescent="0.35">
      <c r="A73" t="s">
        <v>487</v>
      </c>
      <c r="B73" t="s">
        <v>257</v>
      </c>
      <c r="C73" s="1" t="s">
        <v>556</v>
      </c>
      <c r="D73" s="1">
        <v>31360613</v>
      </c>
      <c r="E73" t="s">
        <v>557</v>
      </c>
      <c r="F73" s="2">
        <v>44432</v>
      </c>
      <c r="H73" t="s">
        <v>52</v>
      </c>
      <c r="I73" t="s">
        <v>332</v>
      </c>
      <c r="L73" s="64" t="str">
        <f t="shared" si="3"/>
        <v>Change</v>
      </c>
      <c r="M73">
        <f>_xlfn.XLOOKUP(B73,'[1]Station Summary'!$A:$A,'[1]Station Summary'!$E:$E,0)</f>
        <v>0</v>
      </c>
      <c r="N73">
        <f t="shared" si="4"/>
        <v>0</v>
      </c>
      <c r="O73" s="3">
        <f t="shared" si="5"/>
        <v>0</v>
      </c>
    </row>
    <row r="74" spans="1:15" x14ac:dyDescent="0.35">
      <c r="A74" t="s">
        <v>487</v>
      </c>
      <c r="B74" t="s">
        <v>258</v>
      </c>
      <c r="C74" s="1" t="s">
        <v>558</v>
      </c>
      <c r="D74" s="1">
        <v>174511667</v>
      </c>
      <c r="E74" t="s">
        <v>315</v>
      </c>
      <c r="F74" s="2">
        <v>30355</v>
      </c>
      <c r="H74" t="s">
        <v>7</v>
      </c>
      <c r="I74" t="s">
        <v>316</v>
      </c>
      <c r="J74">
        <v>345</v>
      </c>
      <c r="K74">
        <v>1027</v>
      </c>
      <c r="L74" s="64">
        <f t="shared" si="3"/>
        <v>22.124635568513121</v>
      </c>
      <c r="M74">
        <f>_xlfn.XLOOKUP(B74,'[1]Station Summary'!$A:$A,'[1]Station Summary'!$E:$E,0)</f>
        <v>0</v>
      </c>
      <c r="N74">
        <f t="shared" si="4"/>
        <v>0</v>
      </c>
      <c r="O74" s="3">
        <f t="shared" si="5"/>
        <v>0.25145772594752186</v>
      </c>
    </row>
    <row r="75" spans="1:15" x14ac:dyDescent="0.35">
      <c r="A75" t="s">
        <v>487</v>
      </c>
      <c r="B75" t="s">
        <v>259</v>
      </c>
      <c r="C75" s="1" t="s">
        <v>559</v>
      </c>
      <c r="D75" s="1">
        <v>173601838</v>
      </c>
      <c r="E75" t="s">
        <v>315</v>
      </c>
      <c r="F75" s="2">
        <v>74665</v>
      </c>
      <c r="H75" t="s">
        <v>7</v>
      </c>
      <c r="I75" t="s">
        <v>316</v>
      </c>
      <c r="J75">
        <v>1027</v>
      </c>
      <c r="K75">
        <v>2418</v>
      </c>
      <c r="L75" s="64">
        <f t="shared" si="3"/>
        <v>21.673439767779392</v>
      </c>
      <c r="M75">
        <f>_xlfn.XLOOKUP(B75,'[1]Station Summary'!$A:$A,'[1]Station Summary'!$E:$E,0)</f>
        <v>0</v>
      </c>
      <c r="N75">
        <f t="shared" si="4"/>
        <v>0</v>
      </c>
      <c r="O75" s="3">
        <f t="shared" si="5"/>
        <v>0.2981132075471698</v>
      </c>
    </row>
    <row r="76" spans="1:15" x14ac:dyDescent="0.35">
      <c r="A76" t="s">
        <v>487</v>
      </c>
      <c r="B76" t="s">
        <v>260</v>
      </c>
      <c r="C76" s="1" t="s">
        <v>560</v>
      </c>
      <c r="D76" s="1">
        <v>174511956</v>
      </c>
      <c r="E76" t="s">
        <v>315</v>
      </c>
      <c r="F76" s="2">
        <v>26389</v>
      </c>
      <c r="H76" t="s">
        <v>7</v>
      </c>
      <c r="I76" t="s">
        <v>316</v>
      </c>
      <c r="J76">
        <v>326</v>
      </c>
      <c r="K76">
        <v>877</v>
      </c>
      <c r="L76" s="64">
        <f t="shared" si="3"/>
        <v>21.935993349958437</v>
      </c>
      <c r="M76">
        <f>_xlfn.XLOOKUP(B76,'[1]Station Summary'!$A:$A,'[1]Station Summary'!$E:$E,0)</f>
        <v>0</v>
      </c>
      <c r="N76">
        <f t="shared" si="4"/>
        <v>0</v>
      </c>
      <c r="O76" s="3">
        <f t="shared" si="5"/>
        <v>0.27098919368246049</v>
      </c>
    </row>
    <row r="77" spans="1:15" x14ac:dyDescent="0.35">
      <c r="A77" t="s">
        <v>487</v>
      </c>
      <c r="B77" t="s">
        <v>261</v>
      </c>
      <c r="C77" s="1" t="s">
        <v>561</v>
      </c>
      <c r="D77" s="1">
        <v>174189611</v>
      </c>
      <c r="E77" t="s">
        <v>315</v>
      </c>
      <c r="F77" s="2">
        <v>201740</v>
      </c>
      <c r="H77" t="s">
        <v>7</v>
      </c>
      <c r="I77" t="s">
        <v>316</v>
      </c>
      <c r="J77">
        <v>2497</v>
      </c>
      <c r="K77">
        <v>6802</v>
      </c>
      <c r="L77" s="64">
        <f t="shared" si="3"/>
        <v>21.694805893106786</v>
      </c>
      <c r="M77">
        <f>_xlfn.XLOOKUP(B77,'[1]Station Summary'!$A:$A,'[1]Station Summary'!$E:$E,0)</f>
        <v>0</v>
      </c>
      <c r="N77">
        <f t="shared" si="4"/>
        <v>0</v>
      </c>
      <c r="O77" s="3">
        <f t="shared" si="5"/>
        <v>0.26852349715023122</v>
      </c>
    </row>
    <row r="78" spans="1:15" x14ac:dyDescent="0.35">
      <c r="A78" t="s">
        <v>487</v>
      </c>
      <c r="B78" t="s">
        <v>262</v>
      </c>
      <c r="C78" s="1" t="s">
        <v>562</v>
      </c>
      <c r="D78" s="1">
        <v>174189215</v>
      </c>
      <c r="E78" t="s">
        <v>315</v>
      </c>
      <c r="F78" s="2">
        <v>216281</v>
      </c>
      <c r="H78" t="s">
        <v>7</v>
      </c>
      <c r="I78" t="s">
        <v>316</v>
      </c>
      <c r="J78">
        <v>3378</v>
      </c>
      <c r="K78">
        <v>6760</v>
      </c>
      <c r="L78" s="64">
        <f t="shared" si="3"/>
        <v>21.333695008877491</v>
      </c>
      <c r="M78">
        <f>_xlfn.XLOOKUP(B78,'[1]Station Summary'!$A:$A,'[1]Station Summary'!$E:$E,0)</f>
        <v>0</v>
      </c>
      <c r="N78">
        <f t="shared" si="4"/>
        <v>0</v>
      </c>
      <c r="O78" s="3">
        <f t="shared" si="5"/>
        <v>0.33320181495363976</v>
      </c>
    </row>
    <row r="79" spans="1:15" x14ac:dyDescent="0.35">
      <c r="A79" t="s">
        <v>487</v>
      </c>
      <c r="B79" t="s">
        <v>263</v>
      </c>
      <c r="C79" s="1" t="s">
        <v>563</v>
      </c>
      <c r="D79" s="1">
        <v>195894538</v>
      </c>
      <c r="E79" t="s">
        <v>564</v>
      </c>
      <c r="F79" s="2">
        <v>38967</v>
      </c>
      <c r="H79" t="s">
        <v>7</v>
      </c>
      <c r="I79" t="s">
        <v>316</v>
      </c>
      <c r="J79">
        <v>730</v>
      </c>
      <c r="K79">
        <v>1168</v>
      </c>
      <c r="L79" s="64">
        <f t="shared" si="3"/>
        <v>20.530558482613277</v>
      </c>
      <c r="M79">
        <f>_xlfn.XLOOKUP(B79,'[1]Station Summary'!$A:$A,'[1]Station Summary'!$E:$E,0)</f>
        <v>0</v>
      </c>
      <c r="N79">
        <f t="shared" si="4"/>
        <v>0</v>
      </c>
      <c r="O79" s="3">
        <f t="shared" si="5"/>
        <v>0.38461538461538464</v>
      </c>
    </row>
    <row r="80" spans="1:15" x14ac:dyDescent="0.35">
      <c r="A80" t="s">
        <v>487</v>
      </c>
      <c r="B80" t="s">
        <v>264</v>
      </c>
      <c r="C80" s="1" t="s">
        <v>565</v>
      </c>
      <c r="D80" s="1">
        <v>177658283</v>
      </c>
      <c r="E80" t="s">
        <v>566</v>
      </c>
      <c r="F80" s="2">
        <v>52558</v>
      </c>
      <c r="H80" t="s">
        <v>567</v>
      </c>
      <c r="I80" t="s">
        <v>316</v>
      </c>
      <c r="J80">
        <v>901</v>
      </c>
      <c r="K80">
        <v>1611</v>
      </c>
      <c r="L80" s="64">
        <f t="shared" si="3"/>
        <v>20.922770700636942</v>
      </c>
      <c r="M80">
        <f>_xlfn.XLOOKUP(B80,'[1]Station Summary'!$A:$A,'[1]Station Summary'!$E:$E,0)</f>
        <v>0</v>
      </c>
      <c r="N80">
        <f t="shared" si="4"/>
        <v>0</v>
      </c>
      <c r="O80" s="3">
        <f t="shared" si="5"/>
        <v>0.35867834394904458</v>
      </c>
    </row>
    <row r="81" spans="1:15" x14ac:dyDescent="0.35">
      <c r="A81" t="s">
        <v>487</v>
      </c>
      <c r="B81" t="s">
        <v>265</v>
      </c>
      <c r="C81" s="1" t="s">
        <v>568</v>
      </c>
      <c r="D81" s="1">
        <v>177120260</v>
      </c>
      <c r="E81" t="s">
        <v>315</v>
      </c>
      <c r="F81" s="2">
        <v>36387</v>
      </c>
      <c r="H81" t="s">
        <v>7</v>
      </c>
      <c r="I81" t="s">
        <v>316</v>
      </c>
      <c r="J81">
        <v>305</v>
      </c>
      <c r="K81">
        <v>677</v>
      </c>
      <c r="L81" s="64">
        <f t="shared" si="3"/>
        <v>37.053971486761711</v>
      </c>
      <c r="M81">
        <f>_xlfn.XLOOKUP(B81,'[1]Station Summary'!$A:$A,'[1]Station Summary'!$E:$E,0)</f>
        <v>0</v>
      </c>
      <c r="N81">
        <f t="shared" si="4"/>
        <v>0</v>
      </c>
      <c r="O81" s="3">
        <f t="shared" si="5"/>
        <v>0.31059063136456211</v>
      </c>
    </row>
    <row r="82" spans="1:15" x14ac:dyDescent="0.35">
      <c r="A82" t="s">
        <v>487</v>
      </c>
      <c r="B82" t="s">
        <v>266</v>
      </c>
      <c r="C82" s="1" t="s">
        <v>569</v>
      </c>
      <c r="D82" s="1">
        <v>174183667</v>
      </c>
      <c r="E82" t="s">
        <v>315</v>
      </c>
      <c r="F82" s="2">
        <v>261104</v>
      </c>
      <c r="H82" t="s">
        <v>7</v>
      </c>
      <c r="I82" t="s">
        <v>316</v>
      </c>
      <c r="J82">
        <v>3992</v>
      </c>
      <c r="K82">
        <v>8360</v>
      </c>
      <c r="L82" s="64">
        <f t="shared" si="3"/>
        <v>21.138601036269431</v>
      </c>
      <c r="M82">
        <f>_xlfn.XLOOKUP(B82,'[1]Station Summary'!$A:$A,'[1]Station Summary'!$E:$E,0)</f>
        <v>0</v>
      </c>
      <c r="N82">
        <f t="shared" si="4"/>
        <v>0</v>
      </c>
      <c r="O82" s="3">
        <f t="shared" si="5"/>
        <v>0.32318652849740931</v>
      </c>
    </row>
    <row r="83" spans="1:15" x14ac:dyDescent="0.35">
      <c r="A83" t="s">
        <v>487</v>
      </c>
      <c r="B83" t="s">
        <v>267</v>
      </c>
      <c r="C83" s="1" t="s">
        <v>570</v>
      </c>
      <c r="D83" s="1">
        <v>177658436</v>
      </c>
      <c r="E83" t="s">
        <v>321</v>
      </c>
      <c r="F83" s="2">
        <v>53057</v>
      </c>
      <c r="H83" t="s">
        <v>7</v>
      </c>
      <c r="I83" t="s">
        <v>316</v>
      </c>
      <c r="J83">
        <v>481</v>
      </c>
      <c r="K83">
        <v>1869</v>
      </c>
      <c r="L83" s="64">
        <f t="shared" si="3"/>
        <v>22.57744680851064</v>
      </c>
      <c r="M83">
        <f>_xlfn.XLOOKUP(B83,'[1]Station Summary'!$A:$A,'[1]Station Summary'!$E:$E,0)</f>
        <v>0</v>
      </c>
      <c r="N83">
        <f t="shared" si="4"/>
        <v>0</v>
      </c>
      <c r="O83" s="3">
        <f t="shared" si="5"/>
        <v>0.2046808510638298</v>
      </c>
    </row>
    <row r="84" spans="1:15" x14ac:dyDescent="0.35">
      <c r="A84" t="s">
        <v>487</v>
      </c>
      <c r="B84" t="s">
        <v>268</v>
      </c>
      <c r="C84" s="1" t="s">
        <v>571</v>
      </c>
      <c r="D84" s="1">
        <v>174512210</v>
      </c>
      <c r="E84" t="s">
        <v>315</v>
      </c>
      <c r="F84" s="2">
        <v>24262</v>
      </c>
      <c r="H84" t="s">
        <v>7</v>
      </c>
      <c r="I84" t="s">
        <v>316</v>
      </c>
      <c r="J84">
        <v>292</v>
      </c>
      <c r="K84">
        <v>811</v>
      </c>
      <c r="L84" s="64">
        <f t="shared" si="3"/>
        <v>21.996373526745241</v>
      </c>
      <c r="M84">
        <f>_xlfn.XLOOKUP(B84,'[1]Station Summary'!$A:$A,'[1]Station Summary'!$E:$E,0)</f>
        <v>0</v>
      </c>
      <c r="N84">
        <f t="shared" si="4"/>
        <v>0</v>
      </c>
      <c r="O84" s="3">
        <f t="shared" si="5"/>
        <v>0.26473254759746145</v>
      </c>
    </row>
    <row r="85" spans="1:15" x14ac:dyDescent="0.35">
      <c r="A85" t="s">
        <v>487</v>
      </c>
      <c r="B85" t="s">
        <v>269</v>
      </c>
      <c r="C85" s="1" t="s">
        <v>572</v>
      </c>
      <c r="D85" s="1">
        <v>179168935</v>
      </c>
      <c r="E85" t="s">
        <v>315</v>
      </c>
      <c r="F85" s="2">
        <v>74456</v>
      </c>
      <c r="H85" t="s">
        <v>7</v>
      </c>
      <c r="I85" t="s">
        <v>316</v>
      </c>
      <c r="J85">
        <v>838</v>
      </c>
      <c r="K85">
        <v>2560</v>
      </c>
      <c r="L85" s="64">
        <f t="shared" si="3"/>
        <v>21.911712772218952</v>
      </c>
      <c r="M85">
        <f>_xlfn.XLOOKUP(B85,'[1]Station Summary'!$A:$A,'[1]Station Summary'!$E:$E,0)</f>
        <v>0</v>
      </c>
      <c r="N85">
        <f t="shared" si="4"/>
        <v>0</v>
      </c>
      <c r="O85" s="3">
        <f t="shared" si="5"/>
        <v>0.24661565626839319</v>
      </c>
    </row>
    <row r="86" spans="1:15" x14ac:dyDescent="0.35">
      <c r="A86" t="s">
        <v>487</v>
      </c>
      <c r="B86" t="s">
        <v>270</v>
      </c>
      <c r="C86" s="1" t="s">
        <v>573</v>
      </c>
      <c r="D86" s="1">
        <v>28719854</v>
      </c>
      <c r="E86" t="s">
        <v>574</v>
      </c>
      <c r="F86" s="2">
        <v>118676</v>
      </c>
      <c r="H86" t="s">
        <v>29</v>
      </c>
      <c r="I86" t="s">
        <v>346</v>
      </c>
      <c r="L86" s="64" t="str">
        <f t="shared" si="3"/>
        <v>Change</v>
      </c>
      <c r="M86">
        <f>_xlfn.XLOOKUP(B86,'[1]Station Summary'!$A:$A,'[1]Station Summary'!$E:$E,0)</f>
        <v>0</v>
      </c>
      <c r="N86">
        <f t="shared" si="4"/>
        <v>0</v>
      </c>
      <c r="O86" s="3">
        <f t="shared" si="5"/>
        <v>0</v>
      </c>
    </row>
    <row r="87" spans="1:15" x14ac:dyDescent="0.35">
      <c r="A87" t="s">
        <v>487</v>
      </c>
      <c r="B87" t="s">
        <v>271</v>
      </c>
      <c r="C87" s="1" t="s">
        <v>575</v>
      </c>
      <c r="D87" s="1">
        <v>174183606</v>
      </c>
      <c r="E87" t="s">
        <v>315</v>
      </c>
      <c r="F87" s="2">
        <v>113474</v>
      </c>
      <c r="H87" t="s">
        <v>7</v>
      </c>
      <c r="I87" t="s">
        <v>316</v>
      </c>
      <c r="J87">
        <v>1404</v>
      </c>
      <c r="K87">
        <v>3816</v>
      </c>
      <c r="L87" s="64">
        <f t="shared" si="3"/>
        <v>21.738314176245211</v>
      </c>
      <c r="M87">
        <f>_xlfn.XLOOKUP(B87,'[1]Station Summary'!$A:$A,'[1]Station Summary'!$E:$E,0)</f>
        <v>0</v>
      </c>
      <c r="N87">
        <f t="shared" si="4"/>
        <v>0</v>
      </c>
      <c r="O87" s="3">
        <f t="shared" si="5"/>
        <v>0.26896551724137929</v>
      </c>
    </row>
    <row r="88" spans="1:15" x14ac:dyDescent="0.35">
      <c r="A88" t="s">
        <v>487</v>
      </c>
      <c r="B88" t="s">
        <v>272</v>
      </c>
      <c r="C88" s="1" t="s">
        <v>576</v>
      </c>
      <c r="D88" s="1">
        <v>177647260</v>
      </c>
      <c r="E88" t="s">
        <v>321</v>
      </c>
      <c r="F88" s="2">
        <v>93508</v>
      </c>
      <c r="H88" t="s">
        <v>7</v>
      </c>
      <c r="I88" t="s">
        <v>316</v>
      </c>
      <c r="J88">
        <v>997</v>
      </c>
      <c r="K88">
        <v>3259</v>
      </c>
      <c r="L88" s="64">
        <f t="shared" si="3"/>
        <v>21.970864661654137</v>
      </c>
      <c r="M88">
        <f>_xlfn.XLOOKUP(B88,'[1]Station Summary'!$A:$A,'[1]Station Summary'!$E:$E,0)</f>
        <v>0</v>
      </c>
      <c r="N88">
        <f t="shared" si="4"/>
        <v>0</v>
      </c>
      <c r="O88" s="3">
        <f t="shared" si="5"/>
        <v>0.23425751879699247</v>
      </c>
    </row>
    <row r="89" spans="1:15" x14ac:dyDescent="0.35">
      <c r="A89" t="s">
        <v>487</v>
      </c>
      <c r="B89" t="s">
        <v>273</v>
      </c>
      <c r="C89" s="1" t="s">
        <v>577</v>
      </c>
      <c r="D89" s="1">
        <v>21608468</v>
      </c>
      <c r="E89" t="s">
        <v>578</v>
      </c>
      <c r="F89" s="2">
        <v>186167</v>
      </c>
      <c r="H89" t="s">
        <v>508</v>
      </c>
      <c r="I89" t="s">
        <v>346</v>
      </c>
      <c r="L89" s="64" t="str">
        <f t="shared" si="3"/>
        <v>Change</v>
      </c>
      <c r="M89">
        <f>_xlfn.XLOOKUP(B89,'[1]Station Summary'!$A:$A,'[1]Station Summary'!$E:$E,0)</f>
        <v>0</v>
      </c>
      <c r="N89">
        <f t="shared" si="4"/>
        <v>0</v>
      </c>
      <c r="O89" s="3">
        <f t="shared" si="5"/>
        <v>0</v>
      </c>
    </row>
    <row r="90" spans="1:15" x14ac:dyDescent="0.35">
      <c r="A90" t="s">
        <v>487</v>
      </c>
      <c r="B90" t="s">
        <v>274</v>
      </c>
      <c r="C90" s="1" t="s">
        <v>579</v>
      </c>
      <c r="D90" s="1">
        <v>175479399</v>
      </c>
      <c r="E90" t="s">
        <v>315</v>
      </c>
      <c r="F90" s="2">
        <v>120647</v>
      </c>
      <c r="H90" t="s">
        <v>7</v>
      </c>
      <c r="I90" t="s">
        <v>316</v>
      </c>
      <c r="J90">
        <v>1683</v>
      </c>
      <c r="K90">
        <v>3935</v>
      </c>
      <c r="L90" s="64">
        <f t="shared" si="3"/>
        <v>21.475080099679602</v>
      </c>
      <c r="M90">
        <f>_xlfn.XLOOKUP(B90,'[1]Station Summary'!$A:$A,'[1]Station Summary'!$E:$E,0)</f>
        <v>0</v>
      </c>
      <c r="N90">
        <f t="shared" si="4"/>
        <v>0</v>
      </c>
      <c r="O90" s="3">
        <f t="shared" si="5"/>
        <v>0.29957280170879319</v>
      </c>
    </row>
    <row r="91" spans="1:15" x14ac:dyDescent="0.35">
      <c r="A91" t="s">
        <v>487</v>
      </c>
      <c r="B91" t="s">
        <v>275</v>
      </c>
      <c r="C91" s="1" t="s">
        <v>580</v>
      </c>
      <c r="D91" s="1">
        <v>29824384</v>
      </c>
      <c r="E91" t="s">
        <v>581</v>
      </c>
      <c r="F91" s="2">
        <v>20353</v>
      </c>
      <c r="H91" t="s">
        <v>119</v>
      </c>
      <c r="I91" t="s">
        <v>346</v>
      </c>
      <c r="L91" s="64" t="str">
        <f t="shared" si="3"/>
        <v>Change</v>
      </c>
      <c r="M91">
        <f>_xlfn.XLOOKUP(B91,'[1]Station Summary'!$A:$A,'[1]Station Summary'!$E:$E,0)</f>
        <v>0</v>
      </c>
      <c r="N91">
        <f t="shared" si="4"/>
        <v>0</v>
      </c>
      <c r="O91" s="3">
        <f t="shared" si="5"/>
        <v>0</v>
      </c>
    </row>
    <row r="92" spans="1:15" x14ac:dyDescent="0.35">
      <c r="A92" t="s">
        <v>487</v>
      </c>
      <c r="B92" t="s">
        <v>276</v>
      </c>
      <c r="C92" s="1" t="s">
        <v>582</v>
      </c>
      <c r="D92" s="1">
        <v>177120492</v>
      </c>
      <c r="E92" t="s">
        <v>315</v>
      </c>
      <c r="F92" s="2">
        <v>36985</v>
      </c>
      <c r="H92" t="s">
        <v>7</v>
      </c>
      <c r="I92" t="s">
        <v>316</v>
      </c>
      <c r="J92">
        <v>401</v>
      </c>
      <c r="K92">
        <v>1263</v>
      </c>
      <c r="L92" s="64">
        <f t="shared" si="3"/>
        <v>22.2265625</v>
      </c>
      <c r="M92">
        <f>_xlfn.XLOOKUP(B92,'[1]Station Summary'!$A:$A,'[1]Station Summary'!$E:$E,0)</f>
        <v>0</v>
      </c>
      <c r="N92">
        <f t="shared" si="4"/>
        <v>0</v>
      </c>
      <c r="O92" s="3">
        <f t="shared" si="5"/>
        <v>0.24098557692307693</v>
      </c>
    </row>
    <row r="93" spans="1:15" x14ac:dyDescent="0.35">
      <c r="A93" t="s">
        <v>487</v>
      </c>
      <c r="B93" t="s">
        <v>277</v>
      </c>
      <c r="C93" s="1" t="s">
        <v>583</v>
      </c>
      <c r="D93" s="1">
        <v>175085055</v>
      </c>
      <c r="E93" t="s">
        <v>315</v>
      </c>
      <c r="F93" s="2">
        <v>11682</v>
      </c>
      <c r="H93" t="s">
        <v>7</v>
      </c>
      <c r="I93" t="s">
        <v>316</v>
      </c>
      <c r="J93">
        <v>186</v>
      </c>
      <c r="K93">
        <v>363</v>
      </c>
      <c r="L93" s="64">
        <f t="shared" si="3"/>
        <v>21.278688524590162</v>
      </c>
      <c r="M93">
        <f>_xlfn.XLOOKUP(B93,'[1]Station Summary'!$A:$A,'[1]Station Summary'!$E:$E,0)</f>
        <v>0</v>
      </c>
      <c r="N93">
        <f t="shared" si="4"/>
        <v>0</v>
      </c>
      <c r="O93" s="3">
        <f t="shared" si="5"/>
        <v>0.33879781420765026</v>
      </c>
    </row>
    <row r="94" spans="1:15" x14ac:dyDescent="0.35">
      <c r="A94" t="s">
        <v>487</v>
      </c>
      <c r="B94" t="s">
        <v>278</v>
      </c>
      <c r="C94" s="1" t="s">
        <v>584</v>
      </c>
      <c r="D94" s="1">
        <v>175899863</v>
      </c>
      <c r="E94" t="s">
        <v>315</v>
      </c>
      <c r="F94" s="2">
        <v>68352</v>
      </c>
      <c r="H94" t="s">
        <v>7</v>
      </c>
      <c r="I94" t="s">
        <v>316</v>
      </c>
      <c r="J94">
        <v>787</v>
      </c>
      <c r="K94">
        <v>2344</v>
      </c>
      <c r="L94" s="64">
        <f t="shared" ref="L94:L119" si="6">IFERROR(IF(G94="",F94/(J94+K94),G94/(J94+K94)),"Change")</f>
        <v>21.830725007984668</v>
      </c>
      <c r="M94">
        <f>_xlfn.XLOOKUP(B94,'[1]Station Summary'!$A:$A,'[1]Station Summary'!$E:$E,0)</f>
        <v>0</v>
      </c>
      <c r="N94">
        <f t="shared" ref="N94:N119" si="7">M94*0.03</f>
        <v>0</v>
      </c>
      <c r="O94" s="3">
        <f t="shared" ref="O94:O119" si="8">IFERROR(J94/(J94+K94),0)</f>
        <v>0.25135739380389654</v>
      </c>
    </row>
    <row r="95" spans="1:15" x14ac:dyDescent="0.35">
      <c r="A95" t="s">
        <v>487</v>
      </c>
      <c r="B95" t="s">
        <v>279</v>
      </c>
      <c r="C95" s="1" t="s">
        <v>585</v>
      </c>
      <c r="D95" s="1">
        <v>189026539</v>
      </c>
      <c r="E95" t="s">
        <v>345</v>
      </c>
      <c r="F95" s="2">
        <v>102491</v>
      </c>
      <c r="H95" t="s">
        <v>7</v>
      </c>
      <c r="I95" t="s">
        <v>316</v>
      </c>
      <c r="J95">
        <v>862</v>
      </c>
      <c r="K95">
        <v>3651</v>
      </c>
      <c r="L95" s="64">
        <f t="shared" si="6"/>
        <v>22.710170618214047</v>
      </c>
      <c r="M95">
        <f>_xlfn.XLOOKUP(B95,'[1]Station Summary'!$A:$A,'[1]Station Summary'!$E:$E,0)</f>
        <v>0</v>
      </c>
      <c r="N95">
        <f t="shared" si="7"/>
        <v>0</v>
      </c>
      <c r="O95" s="3">
        <f t="shared" si="8"/>
        <v>0.19100376689563484</v>
      </c>
    </row>
    <row r="96" spans="1:15" x14ac:dyDescent="0.35">
      <c r="A96" t="s">
        <v>487</v>
      </c>
      <c r="B96" t="s">
        <v>280</v>
      </c>
      <c r="C96" s="1" t="s">
        <v>586</v>
      </c>
      <c r="D96" s="1">
        <v>179420262</v>
      </c>
      <c r="E96" t="s">
        <v>315</v>
      </c>
      <c r="F96" s="2">
        <v>62554</v>
      </c>
      <c r="H96" t="s">
        <v>7</v>
      </c>
      <c r="I96" t="s">
        <v>316</v>
      </c>
      <c r="J96">
        <v>733</v>
      </c>
      <c r="K96">
        <v>2103</v>
      </c>
      <c r="L96" s="64">
        <f t="shared" si="6"/>
        <v>22.057122708039493</v>
      </c>
      <c r="M96">
        <f>_xlfn.XLOOKUP(B96,'[1]Station Summary'!$A:$A,'[1]Station Summary'!$E:$E,0)</f>
        <v>0</v>
      </c>
      <c r="N96">
        <f t="shared" si="7"/>
        <v>0</v>
      </c>
      <c r="O96" s="3">
        <f t="shared" si="8"/>
        <v>0.2584626234132581</v>
      </c>
    </row>
    <row r="97" spans="1:15" x14ac:dyDescent="0.35">
      <c r="A97" t="s">
        <v>487</v>
      </c>
      <c r="B97" t="s">
        <v>281</v>
      </c>
      <c r="C97" s="1" t="s">
        <v>587</v>
      </c>
      <c r="D97" s="1">
        <v>178293500</v>
      </c>
      <c r="E97" t="s">
        <v>315</v>
      </c>
      <c r="F97" s="2">
        <v>46955</v>
      </c>
      <c r="H97" t="s">
        <v>7</v>
      </c>
      <c r="I97" t="s">
        <v>316</v>
      </c>
      <c r="J97">
        <v>500</v>
      </c>
      <c r="K97">
        <v>1609</v>
      </c>
      <c r="L97" s="64">
        <f t="shared" si="6"/>
        <v>22.264106211474633</v>
      </c>
      <c r="M97">
        <f>_xlfn.XLOOKUP(B97,'[1]Station Summary'!$A:$A,'[1]Station Summary'!$E:$E,0)</f>
        <v>0</v>
      </c>
      <c r="N97">
        <f t="shared" si="7"/>
        <v>0</v>
      </c>
      <c r="O97" s="3">
        <f t="shared" si="8"/>
        <v>0.23707918444760551</v>
      </c>
    </row>
    <row r="98" spans="1:15" x14ac:dyDescent="0.35">
      <c r="A98" t="s">
        <v>487</v>
      </c>
      <c r="B98" t="s">
        <v>282</v>
      </c>
      <c r="C98" s="1" t="s">
        <v>588</v>
      </c>
      <c r="D98" s="1">
        <v>189026729</v>
      </c>
      <c r="E98" t="s">
        <v>315</v>
      </c>
      <c r="F98" s="2">
        <v>49748</v>
      </c>
      <c r="H98" t="s">
        <v>7</v>
      </c>
      <c r="I98" t="s">
        <v>316</v>
      </c>
      <c r="J98">
        <v>952</v>
      </c>
      <c r="K98">
        <v>1491</v>
      </c>
      <c r="L98" s="64">
        <f t="shared" si="6"/>
        <v>20.363487515349981</v>
      </c>
      <c r="M98">
        <f>_xlfn.XLOOKUP(B98,'[1]Station Summary'!$A:$A,'[1]Station Summary'!$E:$E,0)</f>
        <v>0</v>
      </c>
      <c r="N98">
        <f t="shared" si="7"/>
        <v>0</v>
      </c>
      <c r="O98" s="3">
        <f t="shared" si="8"/>
        <v>0.38968481375358166</v>
      </c>
    </row>
    <row r="99" spans="1:15" x14ac:dyDescent="0.35">
      <c r="A99" t="s">
        <v>487</v>
      </c>
      <c r="B99" t="s">
        <v>283</v>
      </c>
      <c r="C99" s="1" t="s">
        <v>589</v>
      </c>
      <c r="D99" s="1">
        <v>177896717</v>
      </c>
      <c r="E99" t="s">
        <v>315</v>
      </c>
      <c r="F99" s="2">
        <v>476884</v>
      </c>
      <c r="H99" t="s">
        <v>7</v>
      </c>
      <c r="I99" t="s">
        <v>316</v>
      </c>
      <c r="J99">
        <v>1863</v>
      </c>
      <c r="K99">
        <v>3671</v>
      </c>
      <c r="L99" s="64">
        <f t="shared" si="6"/>
        <v>86.173473075533067</v>
      </c>
      <c r="M99">
        <f>_xlfn.XLOOKUP(B99,'[1]Station Summary'!$A:$A,'[1]Station Summary'!$E:$E,0)</f>
        <v>0</v>
      </c>
      <c r="N99">
        <f t="shared" si="7"/>
        <v>0</v>
      </c>
      <c r="O99" s="3">
        <f t="shared" si="8"/>
        <v>0.33664618720636069</v>
      </c>
    </row>
    <row r="100" spans="1:15" x14ac:dyDescent="0.35">
      <c r="A100" t="s">
        <v>487</v>
      </c>
      <c r="B100" t="s">
        <v>284</v>
      </c>
      <c r="C100" s="1" t="s">
        <v>590</v>
      </c>
      <c r="D100" s="1">
        <v>173537465</v>
      </c>
      <c r="E100" t="s">
        <v>315</v>
      </c>
      <c r="F100" s="2">
        <v>53798</v>
      </c>
      <c r="H100" t="s">
        <v>7</v>
      </c>
      <c r="I100" t="s">
        <v>316</v>
      </c>
      <c r="J100">
        <v>643</v>
      </c>
      <c r="K100">
        <v>1801</v>
      </c>
      <c r="L100" s="64">
        <f t="shared" si="6"/>
        <v>22.01227495908347</v>
      </c>
      <c r="M100">
        <f>_xlfn.XLOOKUP(B100,'[1]Station Summary'!$A:$A,'[1]Station Summary'!$E:$E,0)</f>
        <v>0</v>
      </c>
      <c r="N100">
        <f t="shared" si="7"/>
        <v>0</v>
      </c>
      <c r="O100" s="3">
        <f t="shared" si="8"/>
        <v>0.26309328968903439</v>
      </c>
    </row>
    <row r="101" spans="1:15" x14ac:dyDescent="0.35">
      <c r="A101" t="s">
        <v>487</v>
      </c>
      <c r="B101" t="s">
        <v>285</v>
      </c>
      <c r="C101" s="1" t="s">
        <v>591</v>
      </c>
      <c r="D101" s="1">
        <v>175557129</v>
      </c>
      <c r="E101" t="s">
        <v>315</v>
      </c>
      <c r="F101" s="2">
        <v>25699</v>
      </c>
      <c r="H101" t="s">
        <v>7</v>
      </c>
      <c r="I101" t="s">
        <v>316</v>
      </c>
      <c r="J101">
        <v>311</v>
      </c>
      <c r="K101">
        <v>858</v>
      </c>
      <c r="L101" s="64">
        <f t="shared" si="6"/>
        <v>21.983746792130027</v>
      </c>
      <c r="M101">
        <f>_xlfn.XLOOKUP(B101,'[1]Station Summary'!$A:$A,'[1]Station Summary'!$E:$E,0)</f>
        <v>0</v>
      </c>
      <c r="N101">
        <f t="shared" si="7"/>
        <v>0</v>
      </c>
      <c r="O101" s="3">
        <f t="shared" si="8"/>
        <v>0.2660393498716852</v>
      </c>
    </row>
    <row r="102" spans="1:15" x14ac:dyDescent="0.35">
      <c r="A102" t="s">
        <v>487</v>
      </c>
      <c r="B102" t="s">
        <v>286</v>
      </c>
      <c r="C102" s="1" t="s">
        <v>592</v>
      </c>
      <c r="D102" s="1">
        <v>175082850</v>
      </c>
      <c r="E102" t="s">
        <v>315</v>
      </c>
      <c r="F102" s="2">
        <v>34331</v>
      </c>
      <c r="H102" t="s">
        <v>7</v>
      </c>
      <c r="I102" t="s">
        <v>316</v>
      </c>
      <c r="J102">
        <v>495</v>
      </c>
      <c r="K102">
        <v>1098</v>
      </c>
      <c r="L102" s="64">
        <f t="shared" si="6"/>
        <v>21.55116133082235</v>
      </c>
      <c r="M102">
        <f>_xlfn.XLOOKUP(B102,'[1]Station Summary'!$A:$A,'[1]Station Summary'!$E:$E,0)</f>
        <v>0</v>
      </c>
      <c r="N102">
        <f t="shared" si="7"/>
        <v>0</v>
      </c>
      <c r="O102" s="3">
        <f t="shared" si="8"/>
        <v>0.31073446327683618</v>
      </c>
    </row>
    <row r="103" spans="1:15" x14ac:dyDescent="0.35">
      <c r="A103" t="s">
        <v>487</v>
      </c>
      <c r="B103" t="s">
        <v>287</v>
      </c>
      <c r="C103" s="1" t="s">
        <v>593</v>
      </c>
      <c r="D103" s="1">
        <v>173935834</v>
      </c>
      <c r="E103" t="s">
        <v>315</v>
      </c>
      <c r="F103" s="2">
        <v>210127</v>
      </c>
      <c r="H103" t="s">
        <v>594</v>
      </c>
      <c r="I103" t="s">
        <v>316</v>
      </c>
      <c r="J103">
        <v>2867</v>
      </c>
      <c r="K103">
        <v>6819</v>
      </c>
      <c r="L103" s="64">
        <f t="shared" si="6"/>
        <v>21.693888085897171</v>
      </c>
      <c r="M103">
        <f>_xlfn.XLOOKUP(B103,'[1]Station Summary'!$A:$A,'[1]Station Summary'!$E:$E,0)</f>
        <v>0</v>
      </c>
      <c r="N103">
        <f t="shared" si="7"/>
        <v>0</v>
      </c>
      <c r="O103" s="3">
        <f t="shared" si="8"/>
        <v>0.29599421845963247</v>
      </c>
    </row>
    <row r="104" spans="1:15" x14ac:dyDescent="0.35">
      <c r="A104" t="s">
        <v>487</v>
      </c>
      <c r="B104" t="s">
        <v>288</v>
      </c>
      <c r="C104" s="1" t="s">
        <v>595</v>
      </c>
      <c r="D104" s="1">
        <v>177654940</v>
      </c>
      <c r="E104" t="s">
        <v>315</v>
      </c>
      <c r="F104" s="2">
        <v>79696</v>
      </c>
      <c r="H104" t="s">
        <v>7</v>
      </c>
      <c r="I104" t="s">
        <v>316</v>
      </c>
      <c r="J104">
        <v>870</v>
      </c>
      <c r="K104">
        <v>2718</v>
      </c>
      <c r="L104" s="64">
        <f t="shared" si="6"/>
        <v>22.211817168338907</v>
      </c>
      <c r="M104">
        <f>_xlfn.XLOOKUP(B104,'[1]Station Summary'!$A:$A,'[1]Station Summary'!$E:$E,0)</f>
        <v>0</v>
      </c>
      <c r="N104">
        <f t="shared" si="7"/>
        <v>0</v>
      </c>
      <c r="O104" s="3">
        <f t="shared" si="8"/>
        <v>0.24247491638795987</v>
      </c>
    </row>
    <row r="105" spans="1:15" x14ac:dyDescent="0.35">
      <c r="A105" t="s">
        <v>487</v>
      </c>
      <c r="B105" t="s">
        <v>289</v>
      </c>
      <c r="C105" s="1" t="s">
        <v>596</v>
      </c>
      <c r="D105" s="1">
        <v>175479730</v>
      </c>
      <c r="E105" t="s">
        <v>315</v>
      </c>
      <c r="F105" s="2">
        <v>125475</v>
      </c>
      <c r="H105" t="s">
        <v>7</v>
      </c>
      <c r="I105" t="s">
        <v>316</v>
      </c>
      <c r="J105">
        <v>1803</v>
      </c>
      <c r="K105">
        <v>4077</v>
      </c>
      <c r="L105" s="64">
        <f t="shared" si="6"/>
        <v>21.339285714285715</v>
      </c>
      <c r="M105">
        <f>_xlfn.XLOOKUP(B105,'[1]Station Summary'!$A:$A,'[1]Station Summary'!$E:$E,0)</f>
        <v>0</v>
      </c>
      <c r="N105">
        <f t="shared" si="7"/>
        <v>0</v>
      </c>
      <c r="O105" s="3">
        <f t="shared" si="8"/>
        <v>0.3066326530612245</v>
      </c>
    </row>
    <row r="106" spans="1:15" x14ac:dyDescent="0.35">
      <c r="A106" t="s">
        <v>487</v>
      </c>
      <c r="B106" t="s">
        <v>290</v>
      </c>
      <c r="C106" s="1" t="s">
        <v>597</v>
      </c>
      <c r="D106" s="1">
        <v>174518344</v>
      </c>
      <c r="E106" t="s">
        <v>315</v>
      </c>
      <c r="F106" s="2">
        <v>25862</v>
      </c>
      <c r="H106" t="s">
        <v>7</v>
      </c>
      <c r="I106" t="s">
        <v>316</v>
      </c>
      <c r="J106">
        <v>284</v>
      </c>
      <c r="K106">
        <v>881</v>
      </c>
      <c r="L106" s="64">
        <f t="shared" si="6"/>
        <v>22.199141630901288</v>
      </c>
      <c r="M106">
        <f>_xlfn.XLOOKUP(B106,'[1]Station Summary'!$A:$A,'[1]Station Summary'!$E:$E,0)</f>
        <v>0</v>
      </c>
      <c r="N106">
        <f t="shared" si="7"/>
        <v>0</v>
      </c>
      <c r="O106" s="3">
        <f t="shared" si="8"/>
        <v>0.24377682403433476</v>
      </c>
    </row>
    <row r="107" spans="1:15" x14ac:dyDescent="0.35">
      <c r="A107" t="s">
        <v>487</v>
      </c>
      <c r="B107" t="s">
        <v>291</v>
      </c>
      <c r="C107" s="1">
        <v>25700950659</v>
      </c>
      <c r="D107" s="1">
        <v>174328716</v>
      </c>
      <c r="E107" t="s">
        <v>315</v>
      </c>
      <c r="F107" s="2">
        <v>58633</v>
      </c>
      <c r="H107" t="s">
        <v>7</v>
      </c>
      <c r="I107" t="s">
        <v>346</v>
      </c>
      <c r="L107" s="64" t="str">
        <f>IFERROR(IF(G107="",F107/(J107+K107),G107/(J107+K107)),"Change")</f>
        <v>Change</v>
      </c>
      <c r="M107">
        <f>_xlfn.XLOOKUP(B107,'[1]Station Summary'!$A:$A,'[1]Station Summary'!$E:$E,0)</f>
        <v>0</v>
      </c>
      <c r="N107">
        <f t="shared" si="7"/>
        <v>0</v>
      </c>
      <c r="O107" s="3">
        <f t="shared" si="8"/>
        <v>0</v>
      </c>
    </row>
    <row r="108" spans="1:15" x14ac:dyDescent="0.35">
      <c r="A108" t="s">
        <v>487</v>
      </c>
      <c r="B108" t="s">
        <v>292</v>
      </c>
      <c r="C108" s="1">
        <v>92802601762</v>
      </c>
      <c r="D108" s="1">
        <v>179236736</v>
      </c>
      <c r="E108" t="s">
        <v>321</v>
      </c>
      <c r="F108" s="2">
        <v>32273</v>
      </c>
      <c r="H108" t="s">
        <v>7</v>
      </c>
      <c r="I108" t="s">
        <v>359</v>
      </c>
      <c r="L108" s="64" t="str">
        <f t="shared" si="6"/>
        <v>Change</v>
      </c>
      <c r="M108">
        <f>_xlfn.XLOOKUP(B108,'[1]Station Summary'!$A:$A,'[1]Station Summary'!$E:$E,0)</f>
        <v>0</v>
      </c>
      <c r="N108">
        <f t="shared" si="7"/>
        <v>0</v>
      </c>
      <c r="O108" s="3">
        <f t="shared" si="8"/>
        <v>0</v>
      </c>
    </row>
    <row r="109" spans="1:15" x14ac:dyDescent="0.35">
      <c r="A109" t="s">
        <v>487</v>
      </c>
      <c r="B109" t="s">
        <v>293</v>
      </c>
      <c r="D109" s="1">
        <v>197390390</v>
      </c>
      <c r="E109" t="s">
        <v>315</v>
      </c>
      <c r="F109" s="2">
        <v>12403</v>
      </c>
      <c r="H109" t="s">
        <v>7</v>
      </c>
      <c r="I109" t="s">
        <v>359</v>
      </c>
      <c r="L109" s="64" t="str">
        <f t="shared" si="6"/>
        <v>Change</v>
      </c>
      <c r="M109">
        <f>_xlfn.XLOOKUP(B109,'[1]Station Summary'!$A:$A,'[1]Station Summary'!$E:$E,0)</f>
        <v>0</v>
      </c>
      <c r="N109">
        <f t="shared" si="7"/>
        <v>0</v>
      </c>
      <c r="O109" s="3">
        <f t="shared" si="8"/>
        <v>0</v>
      </c>
    </row>
    <row r="110" spans="1:15" x14ac:dyDescent="0.35">
      <c r="A110" t="s">
        <v>487</v>
      </c>
      <c r="B110" t="str">
        <f>_xlfn.XLOOKUP(D110,'[2]Payment Status 2'!$C:$C,'[2]Payment Status 2'!$A:$A)</f>
        <v>Kehancha</v>
      </c>
      <c r="D110" s="1">
        <v>197297551</v>
      </c>
      <c r="E110" t="s">
        <v>315</v>
      </c>
      <c r="F110" s="2">
        <v>49184</v>
      </c>
      <c r="H110" t="s">
        <v>7</v>
      </c>
      <c r="I110" t="s">
        <v>339</v>
      </c>
      <c r="L110" s="64" t="str">
        <f t="shared" si="6"/>
        <v>Change</v>
      </c>
      <c r="M110">
        <f>_xlfn.XLOOKUP(B110,'[1]Station Summary'!$A:$A,'[1]Station Summary'!$E:$E,0)</f>
        <v>0</v>
      </c>
      <c r="N110">
        <f t="shared" si="7"/>
        <v>0</v>
      </c>
      <c r="O110" s="3">
        <f t="shared" si="8"/>
        <v>0</v>
      </c>
    </row>
    <row r="111" spans="1:15" x14ac:dyDescent="0.35">
      <c r="A111" t="s">
        <v>487</v>
      </c>
      <c r="B111" t="s">
        <v>295</v>
      </c>
      <c r="C111" s="1">
        <v>92802571056</v>
      </c>
      <c r="D111" s="1">
        <v>195822711</v>
      </c>
      <c r="E111" t="s">
        <v>598</v>
      </c>
      <c r="F111" s="2">
        <v>109534</v>
      </c>
      <c r="H111" t="s">
        <v>7</v>
      </c>
      <c r="I111" t="s">
        <v>346</v>
      </c>
      <c r="L111" s="64" t="str">
        <f t="shared" si="6"/>
        <v>Change</v>
      </c>
      <c r="M111">
        <f>_xlfn.XLOOKUP(B111,'[1]Station Summary'!$A:$A,'[1]Station Summary'!$E:$E,0)</f>
        <v>0</v>
      </c>
      <c r="N111">
        <f t="shared" si="7"/>
        <v>0</v>
      </c>
      <c r="O111" s="3">
        <f t="shared" si="8"/>
        <v>0</v>
      </c>
    </row>
    <row r="112" spans="1:15" x14ac:dyDescent="0.35">
      <c r="A112" t="s">
        <v>487</v>
      </c>
      <c r="B112" t="s">
        <v>296</v>
      </c>
      <c r="C112" s="1">
        <v>92802546736</v>
      </c>
      <c r="D112" s="1">
        <v>196027553</v>
      </c>
      <c r="E112" t="s">
        <v>315</v>
      </c>
      <c r="F112" s="2">
        <v>7127</v>
      </c>
      <c r="H112" t="s">
        <v>7</v>
      </c>
      <c r="I112" t="s">
        <v>316</v>
      </c>
      <c r="J112">
        <v>334</v>
      </c>
      <c r="K112">
        <v>1144</v>
      </c>
      <c r="L112" s="64">
        <f t="shared" si="6"/>
        <v>4.8220568335588636</v>
      </c>
      <c r="M112">
        <f>_xlfn.XLOOKUP(B112,'[1]Station Summary'!$A:$A,'[1]Station Summary'!$E:$E,0)</f>
        <v>0</v>
      </c>
      <c r="N112">
        <f t="shared" si="7"/>
        <v>0</v>
      </c>
      <c r="O112" s="3">
        <f t="shared" si="8"/>
        <v>0.22598105548037889</v>
      </c>
    </row>
    <row r="113" spans="1:15" x14ac:dyDescent="0.35">
      <c r="A113" t="s">
        <v>487</v>
      </c>
      <c r="B113" t="s">
        <v>297</v>
      </c>
      <c r="C113" s="1">
        <v>92802557980</v>
      </c>
      <c r="D113" s="1">
        <v>179297979</v>
      </c>
      <c r="E113" t="s">
        <v>599</v>
      </c>
      <c r="F113" s="2">
        <v>18525</v>
      </c>
      <c r="H113" t="s">
        <v>7</v>
      </c>
      <c r="I113" t="s">
        <v>316</v>
      </c>
      <c r="J113">
        <v>125</v>
      </c>
      <c r="K113">
        <v>322</v>
      </c>
      <c r="L113" s="64">
        <f t="shared" si="6"/>
        <v>41.442953020134226</v>
      </c>
      <c r="M113">
        <f>_xlfn.XLOOKUP(B113,'[1]Station Summary'!$A:$A,'[1]Station Summary'!$E:$E,0)</f>
        <v>0</v>
      </c>
      <c r="N113">
        <f t="shared" si="7"/>
        <v>0</v>
      </c>
      <c r="O113" s="3">
        <f t="shared" si="8"/>
        <v>0.2796420581655481</v>
      </c>
    </row>
    <row r="114" spans="1:15" x14ac:dyDescent="0.35">
      <c r="A114" t="s">
        <v>487</v>
      </c>
      <c r="B114" t="s">
        <v>298</v>
      </c>
      <c r="C114" s="1">
        <v>92802512001</v>
      </c>
      <c r="D114" s="1">
        <v>177050780</v>
      </c>
      <c r="E114" t="s">
        <v>315</v>
      </c>
      <c r="F114" s="2">
        <v>13281</v>
      </c>
      <c r="H114" t="s">
        <v>7</v>
      </c>
      <c r="I114" t="s">
        <v>346</v>
      </c>
      <c r="L114" s="64" t="str">
        <f t="shared" si="6"/>
        <v>Change</v>
      </c>
      <c r="M114">
        <f>_xlfn.XLOOKUP(B114,'[1]Station Summary'!$A:$A,'[1]Station Summary'!$E:$E,0)</f>
        <v>0</v>
      </c>
      <c r="N114">
        <f t="shared" si="7"/>
        <v>0</v>
      </c>
      <c r="O114" s="3">
        <f t="shared" si="8"/>
        <v>0</v>
      </c>
    </row>
    <row r="115" spans="1:15" x14ac:dyDescent="0.35">
      <c r="A115" t="s">
        <v>487</v>
      </c>
      <c r="B115" t="s">
        <v>299</v>
      </c>
      <c r="C115" s="1">
        <v>92802642402</v>
      </c>
      <c r="D115" s="1">
        <v>134458649</v>
      </c>
      <c r="E115" t="s">
        <v>315</v>
      </c>
      <c r="F115" s="2">
        <v>33838</v>
      </c>
      <c r="H115" t="s">
        <v>7</v>
      </c>
      <c r="I115" t="s">
        <v>359</v>
      </c>
      <c r="L115" s="64" t="str">
        <f t="shared" si="6"/>
        <v>Change</v>
      </c>
      <c r="M115">
        <f>_xlfn.XLOOKUP(B115,'[1]Station Summary'!$A:$A,'[1]Station Summary'!$E:$E,0)</f>
        <v>0</v>
      </c>
      <c r="N115">
        <f t="shared" si="7"/>
        <v>0</v>
      </c>
      <c r="O115" s="3">
        <f t="shared" si="8"/>
        <v>0</v>
      </c>
    </row>
    <row r="116" spans="1:15" x14ac:dyDescent="0.35">
      <c r="A116" t="s">
        <v>487</v>
      </c>
      <c r="B116" t="s">
        <v>300</v>
      </c>
      <c r="C116" s="1">
        <v>92802546769</v>
      </c>
      <c r="D116" s="1">
        <v>196143347</v>
      </c>
      <c r="E116" t="s">
        <v>315</v>
      </c>
      <c r="F116" s="2">
        <v>27502</v>
      </c>
      <c r="H116" t="s">
        <v>7</v>
      </c>
      <c r="I116" t="s">
        <v>316</v>
      </c>
      <c r="J116">
        <v>315</v>
      </c>
      <c r="K116">
        <v>929</v>
      </c>
      <c r="L116" s="64">
        <f t="shared" si="6"/>
        <v>22.107717041800644</v>
      </c>
      <c r="M116">
        <f>_xlfn.XLOOKUP(B116,'[1]Station Summary'!$A:$A,'[1]Station Summary'!$E:$E,0)</f>
        <v>0</v>
      </c>
      <c r="N116">
        <f t="shared" si="7"/>
        <v>0</v>
      </c>
      <c r="O116" s="3">
        <f t="shared" si="8"/>
        <v>0.25321543408360131</v>
      </c>
    </row>
    <row r="117" spans="1:15" x14ac:dyDescent="0.35">
      <c r="A117" t="s">
        <v>487</v>
      </c>
      <c r="B117" t="s">
        <v>301</v>
      </c>
      <c r="C117" s="1">
        <v>25700563015</v>
      </c>
      <c r="D117" s="1">
        <v>174018903</v>
      </c>
      <c r="E117" t="s">
        <v>315</v>
      </c>
      <c r="F117" s="2">
        <v>10822</v>
      </c>
      <c r="H117" t="s">
        <v>7</v>
      </c>
      <c r="I117" t="s">
        <v>316</v>
      </c>
      <c r="J117">
        <v>143</v>
      </c>
      <c r="K117">
        <v>354</v>
      </c>
      <c r="L117" s="64">
        <f t="shared" si="6"/>
        <v>21.774647887323944</v>
      </c>
      <c r="M117">
        <f>_xlfn.XLOOKUP(B117,'[1]Station Summary'!$A:$A,'[1]Station Summary'!$E:$E,0)</f>
        <v>0</v>
      </c>
      <c r="N117">
        <f t="shared" si="7"/>
        <v>0</v>
      </c>
      <c r="O117" s="3">
        <f t="shared" si="8"/>
        <v>0.28772635814889336</v>
      </c>
    </row>
    <row r="118" spans="1:15" x14ac:dyDescent="0.35">
      <c r="A118" t="s">
        <v>487</v>
      </c>
      <c r="B118" t="s">
        <v>302</v>
      </c>
      <c r="D118" s="1">
        <v>175823899</v>
      </c>
      <c r="E118" t="s">
        <v>315</v>
      </c>
      <c r="F118" s="2">
        <v>58720</v>
      </c>
      <c r="H118" t="s">
        <v>7</v>
      </c>
      <c r="I118" t="s">
        <v>316</v>
      </c>
      <c r="J118">
        <v>886</v>
      </c>
      <c r="K118">
        <v>1773</v>
      </c>
      <c r="L118" s="64">
        <f t="shared" si="6"/>
        <v>22.083490033847312</v>
      </c>
      <c r="M118">
        <f>_xlfn.XLOOKUP(B118,'[1]Station Summary'!$A:$A,'[1]Station Summary'!$E:$E,0)</f>
        <v>0</v>
      </c>
      <c r="N118">
        <f t="shared" si="7"/>
        <v>0</v>
      </c>
      <c r="O118" s="3">
        <f t="shared" si="8"/>
        <v>0.33320797292215121</v>
      </c>
    </row>
    <row r="119" spans="1:15" x14ac:dyDescent="0.35">
      <c r="A119" t="s">
        <v>487</v>
      </c>
      <c r="B119" t="s">
        <v>303</v>
      </c>
      <c r="C119" s="1">
        <v>92802556677</v>
      </c>
      <c r="D119" s="1">
        <v>196434100</v>
      </c>
      <c r="E119" t="s">
        <v>315</v>
      </c>
      <c r="F119" s="2">
        <v>303185</v>
      </c>
      <c r="H119" t="s">
        <v>7</v>
      </c>
      <c r="I119" t="s">
        <v>316</v>
      </c>
      <c r="J119">
        <v>4394</v>
      </c>
      <c r="K119">
        <v>9683</v>
      </c>
      <c r="L119" s="64">
        <f t="shared" si="6"/>
        <v>21.53761454855438</v>
      </c>
      <c r="M119">
        <f>_xlfn.XLOOKUP(B119,'[1]Station Summary'!$A:$A,'[1]Station Summary'!$E:$E,0)</f>
        <v>0</v>
      </c>
      <c r="N119">
        <f t="shared" si="7"/>
        <v>0</v>
      </c>
      <c r="O119" s="3">
        <f t="shared" si="8"/>
        <v>0.31214037081764578</v>
      </c>
    </row>
  </sheetData>
  <autoFilter ref="A2:O119" xr:uid="{E888FD0B-2EAA-47E1-9B4E-17E02C5D3214}"/>
  <conditionalFormatting sqref="B1:B1048576">
    <cfRule type="duplicateValues" dxfId="0" priority="1"/>
  </conditionalFormatting>
  <dataValidations count="1">
    <dataValidation type="list" allowBlank="1" showInputMessage="1" showErrorMessage="1" sqref="A3:A119" xr:uid="{C72D2561-A9DB-46DA-A367-6374C072E1C7}">
      <formula1>"Batch 1, Batch 2, Batch 3"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September - B1</vt:lpstr>
      <vt:lpstr>September - B2_B3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Ianbob Okoth Juma</dc:creator>
  <cp:keywords/>
  <dc:description/>
  <cp:lastModifiedBy>Ianbob Okoth Juma</cp:lastModifiedBy>
  <cp:revision/>
  <dcterms:created xsi:type="dcterms:W3CDTF">2026-09-09T11:50:12Z</dcterms:created>
  <dcterms:modified xsi:type="dcterms:W3CDTF">2026-10-06T10:39:04Z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2026-09-09T11:53:13Z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a432caa5-59ae-4ad7-9282-12bb08b8eac1</vt:lpwstr>
  </property>
  <property fmtid="{D5CDD505-2E9C-101B-9397-08002B2CF9AE}" pid="7" name="MSIP_Label_defa4170-0d19-0005-0004-bc88714345d2_ActionId">
    <vt:lpwstr>f0fa7ec4-1d25-4c16-8920-a1d0247c7223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